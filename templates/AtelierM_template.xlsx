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AtelierM_kaikei\"/>
    </mc:Choice>
  </mc:AlternateContent>
  <xr:revisionPtr revIDLastSave="0" documentId="13_ncr:1_{E9193960-CDAA-434D-82CD-E7586E11EA8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名簿 (出欠確認用)" sheetId="1" r:id="rId1"/>
    <sheet name="会計 " sheetId="2" r:id="rId2"/>
    <sheet name="計算シート" sheetId="3" r:id="rId3"/>
    <sheet name="計算シート (2)" sheetId="4" r:id="rId4"/>
    <sheet name="収支報告書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tg3VoYO0dJ8/JlJsTKBQ7javMVm9odJGpZEN6K6eSCM="/>
    </ext>
  </extLst>
</workbook>
</file>

<file path=xl/calcChain.xml><?xml version="1.0" encoding="utf-8"?>
<calcChain xmlns="http://schemas.openxmlformats.org/spreadsheetml/2006/main">
  <c r="D72" i="2" l="1"/>
  <c r="D73" i="2" s="1"/>
  <c r="E37" i="2"/>
  <c r="Z35" i="2"/>
  <c r="Z34" i="2"/>
  <c r="Z33" i="2"/>
  <c r="Z32" i="2"/>
  <c r="Z21" i="2"/>
  <c r="Z20" i="2"/>
  <c r="Z19" i="2"/>
  <c r="Z18" i="2"/>
  <c r="Z17" i="2"/>
  <c r="Z16" i="2"/>
  <c r="Z15" i="2"/>
  <c r="Z14" i="2"/>
  <c r="Z7" i="2"/>
  <c r="B16" i="5"/>
  <c r="B8" i="5"/>
  <c r="Z77" i="2"/>
  <c r="Y72" i="2"/>
  <c r="Y73" i="2" s="1"/>
  <c r="X72" i="2"/>
  <c r="X73" i="2" s="1"/>
  <c r="W72" i="2"/>
  <c r="W73" i="2" s="1"/>
  <c r="V72" i="2"/>
  <c r="V73" i="2" s="1"/>
  <c r="U72" i="2"/>
  <c r="U73" i="2" s="1"/>
  <c r="T72" i="2"/>
  <c r="T73" i="2" s="1"/>
  <c r="S72" i="2"/>
  <c r="S73" i="2" s="1"/>
  <c r="R72" i="2"/>
  <c r="R73" i="2" s="1"/>
  <c r="Q72" i="2"/>
  <c r="Q73" i="2" s="1"/>
  <c r="P72" i="2"/>
  <c r="P73" i="2" s="1"/>
  <c r="O72" i="2"/>
  <c r="O73" i="2" s="1"/>
  <c r="N72" i="2"/>
  <c r="N73" i="2" s="1"/>
  <c r="M72" i="2"/>
  <c r="M73" i="2" s="1"/>
  <c r="L72" i="2"/>
  <c r="L73" i="2" s="1"/>
  <c r="K72" i="2"/>
  <c r="K73" i="2" s="1"/>
  <c r="J72" i="2"/>
  <c r="J73" i="2" s="1"/>
  <c r="I72" i="2"/>
  <c r="I73" i="2" s="1"/>
  <c r="H72" i="2"/>
  <c r="H73" i="2" s="1"/>
  <c r="G72" i="2"/>
  <c r="G73" i="2" s="1"/>
  <c r="F72" i="2"/>
  <c r="F73" i="2" s="1"/>
  <c r="E72" i="2"/>
  <c r="E73" i="2" s="1"/>
  <c r="C72" i="2"/>
  <c r="C73" i="2" s="1"/>
  <c r="Z41" i="2"/>
  <c r="Z40" i="2"/>
  <c r="Y37" i="2"/>
  <c r="Y38" i="2" s="1"/>
  <c r="X37" i="2"/>
  <c r="X38" i="2" s="1"/>
  <c r="W37" i="2"/>
  <c r="W38" i="2" s="1"/>
  <c r="V37" i="2"/>
  <c r="V38" i="2" s="1"/>
  <c r="U37" i="2"/>
  <c r="U38" i="2" s="1"/>
  <c r="T37" i="2"/>
  <c r="T38" i="2" s="1"/>
  <c r="S37" i="2"/>
  <c r="S38" i="2" s="1"/>
  <c r="R37" i="2"/>
  <c r="R38" i="2" s="1"/>
  <c r="Q37" i="2"/>
  <c r="Q38" i="2" s="1"/>
  <c r="P37" i="2"/>
  <c r="P38" i="2" s="1"/>
  <c r="O37" i="2"/>
  <c r="O38" i="2" s="1"/>
  <c r="N37" i="2"/>
  <c r="N38" i="2" s="1"/>
  <c r="M37" i="2"/>
  <c r="M38" i="2" s="1"/>
  <c r="L37" i="2"/>
  <c r="L38" i="2" s="1"/>
  <c r="K37" i="2"/>
  <c r="K38" i="2" s="1"/>
  <c r="J37" i="2"/>
  <c r="J38" i="2" s="1"/>
  <c r="I37" i="2"/>
  <c r="I38" i="2" s="1"/>
  <c r="H37" i="2"/>
  <c r="H38" i="2" s="1"/>
  <c r="G37" i="2"/>
  <c r="G38" i="2" s="1"/>
  <c r="F37" i="2"/>
  <c r="F38" i="2" s="1"/>
  <c r="E38" i="2"/>
  <c r="D37" i="2"/>
  <c r="D38" i="2" s="1"/>
  <c r="C37" i="2"/>
  <c r="C38" i="2" s="1"/>
  <c r="Z36" i="2"/>
  <c r="Z13" i="2"/>
  <c r="Z12" i="2"/>
  <c r="Z11" i="2"/>
  <c r="Z10" i="2"/>
  <c r="Z9" i="2"/>
  <c r="Z8" i="2"/>
  <c r="Z6" i="2"/>
  <c r="BA87" i="1"/>
  <c r="AY87" i="1"/>
  <c r="AW87" i="1"/>
  <c r="AU87" i="1"/>
  <c r="AS87" i="1"/>
  <c r="AQ87" i="1"/>
  <c r="AO87" i="1"/>
  <c r="AM87" i="1"/>
  <c r="AK87" i="1"/>
  <c r="AI87" i="1"/>
  <c r="AG87" i="1"/>
  <c r="AE87" i="1"/>
  <c r="AC87" i="1"/>
  <c r="AA87" i="1"/>
  <c r="Y87" i="1"/>
  <c r="W87" i="1"/>
  <c r="U87" i="1"/>
  <c r="S87" i="1"/>
  <c r="Q87" i="1"/>
  <c r="O87" i="1"/>
  <c r="M87" i="1"/>
  <c r="K87" i="1"/>
  <c r="AU86" i="1"/>
  <c r="AU88" i="1" s="1"/>
  <c r="AS86" i="1"/>
  <c r="AS88" i="1" s="1"/>
  <c r="Y86" i="1"/>
  <c r="Y88" i="1" s="1"/>
  <c r="BA85" i="1"/>
  <c r="AY85" i="1"/>
  <c r="AW85" i="1"/>
  <c r="AU85" i="1"/>
  <c r="AS85" i="1"/>
  <c r="AQ85" i="1"/>
  <c r="AO85" i="1"/>
  <c r="AM85" i="1"/>
  <c r="AK85" i="1"/>
  <c r="AI85" i="1"/>
  <c r="AG85" i="1"/>
  <c r="AE85" i="1"/>
  <c r="AC85" i="1"/>
  <c r="AA85" i="1"/>
  <c r="AA86" i="1" s="1"/>
  <c r="AA88" i="1" s="1"/>
  <c r="Y85" i="1"/>
  <c r="W85" i="1"/>
  <c r="U85" i="1"/>
  <c r="S85" i="1"/>
  <c r="Q85" i="1"/>
  <c r="O85" i="1"/>
  <c r="M85" i="1"/>
  <c r="K85" i="1"/>
  <c r="BA84" i="1"/>
  <c r="AY84" i="1"/>
  <c r="AW84" i="1"/>
  <c r="AU84" i="1"/>
  <c r="AS84" i="1"/>
  <c r="AQ84" i="1"/>
  <c r="AO84" i="1"/>
  <c r="AM84" i="1"/>
  <c r="AK84" i="1"/>
  <c r="AI84" i="1"/>
  <c r="AG84" i="1"/>
  <c r="AE84" i="1"/>
  <c r="AE86" i="1" s="1"/>
  <c r="AE88" i="1" s="1"/>
  <c r="AC84" i="1"/>
  <c r="AA84" i="1"/>
  <c r="Y84" i="1"/>
  <c r="W84" i="1"/>
  <c r="U84" i="1"/>
  <c r="S84" i="1"/>
  <c r="Q84" i="1"/>
  <c r="O84" i="1"/>
  <c r="M84" i="1"/>
  <c r="K84" i="1"/>
  <c r="BA83" i="1"/>
  <c r="AY83" i="1"/>
  <c r="AW83" i="1"/>
  <c r="AU83" i="1"/>
  <c r="AS83" i="1"/>
  <c r="AQ83" i="1"/>
  <c r="AO83" i="1"/>
  <c r="AO86" i="1" s="1"/>
  <c r="AO88" i="1" s="1"/>
  <c r="AM83" i="1"/>
  <c r="AK83" i="1"/>
  <c r="AI83" i="1"/>
  <c r="AG83" i="1"/>
  <c r="AE83" i="1"/>
  <c r="AC83" i="1"/>
  <c r="AA83" i="1"/>
  <c r="Y83" i="1"/>
  <c r="W83" i="1"/>
  <c r="U83" i="1"/>
  <c r="S83" i="1"/>
  <c r="Q83" i="1"/>
  <c r="O83" i="1"/>
  <c r="M83" i="1"/>
  <c r="K83" i="1"/>
  <c r="BA82" i="1"/>
  <c r="BA86" i="1" s="1"/>
  <c r="BA88" i="1" s="1"/>
  <c r="AY82" i="1"/>
  <c r="AY86" i="1" s="1"/>
  <c r="AY88" i="1" s="1"/>
  <c r="AW82" i="1"/>
  <c r="AW86" i="1" s="1"/>
  <c r="AW88" i="1" s="1"/>
  <c r="AU82" i="1"/>
  <c r="AS82" i="1"/>
  <c r="AQ82" i="1"/>
  <c r="AQ86" i="1" s="1"/>
  <c r="AQ88" i="1" s="1"/>
  <c r="AO82" i="1"/>
  <c r="AM82" i="1"/>
  <c r="AM86" i="1" s="1"/>
  <c r="AM88" i="1" s="1"/>
  <c r="AK82" i="1"/>
  <c r="AK86" i="1" s="1"/>
  <c r="AK88" i="1" s="1"/>
  <c r="AI82" i="1"/>
  <c r="AI86" i="1" s="1"/>
  <c r="AI88" i="1" s="1"/>
  <c r="AG82" i="1"/>
  <c r="AG86" i="1" s="1"/>
  <c r="AG88" i="1" s="1"/>
  <c r="AE82" i="1"/>
  <c r="AC82" i="1"/>
  <c r="AC86" i="1" s="1"/>
  <c r="AC88" i="1" s="1"/>
  <c r="AA82" i="1"/>
  <c r="Y82" i="1"/>
  <c r="W82" i="1"/>
  <c r="W86" i="1" s="1"/>
  <c r="W88" i="1" s="1"/>
  <c r="U82" i="1"/>
  <c r="U86" i="1" s="1"/>
  <c r="U88" i="1" s="1"/>
  <c r="S82" i="1"/>
  <c r="S86" i="1" s="1"/>
  <c r="S88" i="1" s="1"/>
  <c r="Q82" i="1"/>
  <c r="O82" i="1"/>
  <c r="O86" i="1" s="1"/>
  <c r="O88" i="1" s="1"/>
  <c r="M82" i="1"/>
  <c r="K82" i="1"/>
  <c r="K86" i="1" s="1"/>
  <c r="BB81" i="1"/>
  <c r="AZ81" i="1"/>
  <c r="AX81" i="1"/>
  <c r="AV81" i="1"/>
  <c r="AT81" i="1"/>
  <c r="AR81" i="1"/>
  <c r="AP81" i="1"/>
  <c r="AN81" i="1"/>
  <c r="AL81" i="1"/>
  <c r="AJ81" i="1"/>
  <c r="AH81" i="1"/>
  <c r="AF81" i="1"/>
  <c r="AD81" i="1"/>
  <c r="AB81" i="1"/>
  <c r="Z81" i="1"/>
  <c r="X81" i="1"/>
  <c r="V81" i="1"/>
  <c r="T81" i="1"/>
  <c r="R81" i="1"/>
  <c r="P81" i="1"/>
  <c r="N81" i="1"/>
  <c r="L81" i="1"/>
  <c r="M86" i="1" l="1"/>
  <c r="M88" i="1" s="1"/>
  <c r="Z37" i="2"/>
  <c r="Z38" i="2" s="1"/>
  <c r="C74" i="2"/>
  <c r="D74" i="2" s="1"/>
  <c r="BC85" i="1"/>
  <c r="BC82" i="1"/>
  <c r="BC91" i="1" s="1"/>
  <c r="BC83" i="1"/>
  <c r="BD81" i="1"/>
  <c r="BC84" i="1"/>
  <c r="BC87" i="1"/>
  <c r="K88" i="1"/>
  <c r="Q86" i="1"/>
  <c r="Q88" i="1" s="1"/>
  <c r="Z72" i="2"/>
  <c r="Z73" i="2" s="1"/>
  <c r="C77" i="2" l="1"/>
  <c r="Z74" i="2"/>
  <c r="BC88" i="1"/>
  <c r="BC86" i="1"/>
  <c r="D77" i="2"/>
  <c r="E74" i="2"/>
  <c r="E77" i="2" l="1"/>
  <c r="F74" i="2"/>
  <c r="F77" i="2" l="1"/>
  <c r="G74" i="2"/>
  <c r="G77" i="2" l="1"/>
  <c r="H74" i="2"/>
  <c r="H77" i="2" l="1"/>
  <c r="I74" i="2"/>
  <c r="I77" i="2" l="1"/>
  <c r="J74" i="2"/>
  <c r="J77" i="2" l="1"/>
  <c r="K74" i="2"/>
  <c r="K77" i="2" l="1"/>
  <c r="L74" i="2"/>
  <c r="L77" i="2" l="1"/>
  <c r="M74" i="2"/>
  <c r="N74" i="2" l="1"/>
  <c r="M77" i="2"/>
  <c r="O74" i="2" l="1"/>
  <c r="N77" i="2"/>
  <c r="P74" i="2" l="1"/>
  <c r="O77" i="2"/>
  <c r="Q74" i="2" l="1"/>
  <c r="P77" i="2"/>
  <c r="R74" i="2" l="1"/>
  <c r="Q77" i="2"/>
  <c r="S74" i="2" l="1"/>
  <c r="R77" i="2"/>
  <c r="T74" i="2" l="1"/>
  <c r="S77" i="2"/>
  <c r="T77" i="2" l="1"/>
  <c r="U74" i="2"/>
  <c r="U77" i="2" l="1"/>
  <c r="V74" i="2"/>
  <c r="V77" i="2" l="1"/>
  <c r="W74" i="2"/>
  <c r="W77" i="2" l="1"/>
  <c r="X74" i="2"/>
  <c r="X77" i="2" l="1"/>
  <c r="Y74" i="2"/>
  <c r="Y77" i="2" s="1"/>
</calcChain>
</file>

<file path=xl/sharedStrings.xml><?xml version="1.0" encoding="utf-8"?>
<sst xmlns="http://schemas.openxmlformats.org/spreadsheetml/2006/main" count="351" uniqueCount="200">
  <si>
    <r>
      <t>2026</t>
    </r>
    <r>
      <rPr>
        <sz val="11"/>
        <color theme="1"/>
        <rFont val="Yu Gothic"/>
        <family val="2"/>
      </rPr>
      <t>年度</t>
    </r>
  </si>
  <si>
    <t>活動内容</t>
  </si>
  <si>
    <t>自由製作</t>
  </si>
  <si>
    <t>役職</t>
  </si>
  <si>
    <t>氏名</t>
  </si>
  <si>
    <t>なまえ</t>
  </si>
  <si>
    <t>現住所</t>
  </si>
  <si>
    <t>電話</t>
  </si>
  <si>
    <t>メールアドレス</t>
  </si>
  <si>
    <t>勤務先・学校名</t>
  </si>
  <si>
    <t>誕生日</t>
  </si>
  <si>
    <t>会費</t>
  </si>
  <si>
    <t>会長</t>
  </si>
  <si>
    <t>高桑　博子</t>
  </si>
  <si>
    <t>たかくわ　ひろこ</t>
  </si>
  <si>
    <t>品川区八潮5-12-69-1310</t>
  </si>
  <si>
    <t>090-7738-6453</t>
  </si>
  <si>
    <t>happiness59_0106@docomo.ne.jp</t>
  </si>
  <si>
    <t>１月６日</t>
  </si>
  <si>
    <t>□</t>
  </si>
  <si>
    <t>高桑　大誠</t>
  </si>
  <si>
    <t>たかくわ　たいせい</t>
  </si>
  <si>
    <t>同上</t>
  </si>
  <si>
    <t>鈴ヶ森めばえ幼稚園</t>
  </si>
  <si>
    <t>２０１０年１１月１２日</t>
  </si>
  <si>
    <t>欠</t>
  </si>
  <si>
    <t>高桑　大馳</t>
  </si>
  <si>
    <t>会計監査</t>
  </si>
  <si>
    <t>永原　真由美</t>
  </si>
  <si>
    <t>ながはら　まゆみ</t>
  </si>
  <si>
    <t>品川区八潮5-12-69-512</t>
  </si>
  <si>
    <t>090-9135-3171</t>
  </si>
  <si>
    <t>永原　幸祐</t>
  </si>
  <si>
    <t>ながはら　こうすけ</t>
  </si>
  <si>
    <t>エトワール幼稚園</t>
  </si>
  <si>
    <t>永原　杏菜</t>
  </si>
  <si>
    <t>ながはら　あんな</t>
  </si>
  <si>
    <t>永原　柚花</t>
  </si>
  <si>
    <t>浅倉　奈津美</t>
  </si>
  <si>
    <t>あさくら　なつみ</t>
  </si>
  <si>
    <t>品川区勝島1-7-2-506</t>
  </si>
  <si>
    <t>090-7897-8369</t>
  </si>
  <si>
    <t>◎</t>
  </si>
  <si>
    <t>浅倉　柚華</t>
  </si>
  <si>
    <t>あさくら　ゆずは</t>
  </si>
  <si>
    <t>浅倉　理人</t>
  </si>
  <si>
    <t>保科　希代美</t>
  </si>
  <si>
    <t>保科　優衣</t>
  </si>
  <si>
    <t>保科　創太朗</t>
  </si>
  <si>
    <t>竹内　侑子</t>
  </si>
  <si>
    <t>竹内　琴羽</t>
  </si>
  <si>
    <t>竹内　昴晴</t>
  </si>
  <si>
    <t>竹内　碧唯</t>
  </si>
  <si>
    <t>武田　綾</t>
  </si>
  <si>
    <t>武田　夏花咲</t>
  </si>
  <si>
    <t>武田　桜空</t>
  </si>
  <si>
    <t>巴　香織</t>
  </si>
  <si>
    <t>巴　美琴</t>
  </si>
  <si>
    <t>巴　健信</t>
  </si>
  <si>
    <t>巴　美涼</t>
  </si>
  <si>
    <t>小林　美咲</t>
  </si>
  <si>
    <t>小林　ひなた</t>
  </si>
  <si>
    <t>小林　凛</t>
  </si>
  <si>
    <t>小林　杏</t>
  </si>
  <si>
    <t>菅原　直子</t>
  </si>
  <si>
    <t>涌井　純子</t>
  </si>
  <si>
    <t>涌井　航大</t>
  </si>
  <si>
    <t>涌井　千咲</t>
  </si>
  <si>
    <t>涌井　匠真</t>
  </si>
  <si>
    <t>前野　涼子</t>
  </si>
  <si>
    <t>前野　琉衣</t>
  </si>
  <si>
    <t>前野　つばき</t>
  </si>
  <si>
    <t>片原　未来</t>
  </si>
  <si>
    <t>片原　えいしゅん</t>
  </si>
  <si>
    <t>片原　そうしゅん</t>
  </si>
  <si>
    <t>崎山 かおり</t>
  </si>
  <si>
    <t>崎山　やさ</t>
  </si>
  <si>
    <t>崎山　かなと</t>
  </si>
  <si>
    <t>崎山　史叶</t>
  </si>
  <si>
    <t>崎山　ももか</t>
  </si>
  <si>
    <t>福盛　彩</t>
  </si>
  <si>
    <t>福盛　春馬</t>
  </si>
  <si>
    <t>福盛　空夏</t>
  </si>
  <si>
    <t>福盛　尊</t>
  </si>
  <si>
    <t>高橋　尚子</t>
  </si>
  <si>
    <t>高橋　和花</t>
  </si>
  <si>
    <t>池原　</t>
  </si>
  <si>
    <t>池原　ようすけ</t>
  </si>
  <si>
    <t>池原　ももか</t>
  </si>
  <si>
    <t>秋田 沙織</t>
  </si>
  <si>
    <t>秋田　菫花</t>
  </si>
  <si>
    <t>秋田　桜咲</t>
  </si>
  <si>
    <t>秋田　悠希</t>
  </si>
  <si>
    <t>渡邊　宜子</t>
  </si>
  <si>
    <t>渡邊　茉子</t>
  </si>
  <si>
    <t>渡邊</t>
  </si>
  <si>
    <t>小松　のぞみ</t>
  </si>
  <si>
    <t>吉野</t>
  </si>
  <si>
    <t>佐藤　加奈葉</t>
  </si>
  <si>
    <t>久保</t>
  </si>
  <si>
    <t>高瀬　和代</t>
  </si>
  <si>
    <t>高瀬　悠瑠</t>
  </si>
  <si>
    <t>高瀬　倖來</t>
  </si>
  <si>
    <t>○</t>
  </si>
  <si>
    <t>藤野　沙織</t>
  </si>
  <si>
    <t>△</t>
  </si>
  <si>
    <t>上野　弘子</t>
  </si>
  <si>
    <t>隅谷　真帆</t>
  </si>
  <si>
    <t>見学</t>
  </si>
  <si>
    <t>隅谷　颯翔</t>
  </si>
  <si>
    <t>隅谷　遙麒</t>
  </si>
  <si>
    <t>大塚</t>
  </si>
  <si>
    <t>片桐</t>
  </si>
  <si>
    <t>☆</t>
  </si>
  <si>
    <t>プラス　材料費</t>
  </si>
  <si>
    <t>計</t>
  </si>
  <si>
    <t>運営費支払者</t>
  </si>
  <si>
    <t>●</t>
  </si>
  <si>
    <t>材料費のみ支払（運営費徴収なし）</t>
  </si>
  <si>
    <t>講師・保育</t>
  </si>
  <si>
    <t>見学者</t>
  </si>
  <si>
    <t>大人計</t>
  </si>
  <si>
    <t>子ども</t>
  </si>
  <si>
    <t>参加者計</t>
  </si>
  <si>
    <t>※確認　会計シート会費と一致すること！</t>
  </si>
  <si>
    <t>2026年度</t>
  </si>
  <si>
    <t>2WAYアウターホルダー</t>
  </si>
  <si>
    <t>総会</t>
  </si>
  <si>
    <t>項目</t>
  </si>
  <si>
    <t>収入</t>
  </si>
  <si>
    <t>材料費</t>
  </si>
  <si>
    <t>パラコード</t>
  </si>
  <si>
    <t>丸カラビナ</t>
  </si>
  <si>
    <t>ビーズイヤリング2セット</t>
  </si>
  <si>
    <t>合計</t>
  </si>
  <si>
    <t>支出</t>
  </si>
  <si>
    <t>部屋代</t>
  </si>
  <si>
    <t>玉ピン</t>
  </si>
  <si>
    <t>ガラスビーズ</t>
  </si>
  <si>
    <t>4ミリビーズ</t>
  </si>
  <si>
    <t>ノンホールピアス</t>
  </si>
  <si>
    <t>合計総額</t>
  </si>
  <si>
    <t>※合計差額（アトリエムの備蓄金）＝（前日差額＋収入合計）－支出合計</t>
  </si>
  <si>
    <t>差額</t>
  </si>
  <si>
    <t>現金</t>
  </si>
  <si>
    <t>2025年度　残高</t>
  </si>
  <si>
    <t>監査</t>
  </si>
  <si>
    <t>　／</t>
  </si>
  <si>
    <t>（材料費)</t>
  </si>
  <si>
    <t>✔</t>
  </si>
  <si>
    <t>名前</t>
  </si>
  <si>
    <t>管理費</t>
  </si>
  <si>
    <t>￥</t>
  </si>
  <si>
    <t>（返金　　　　）</t>
  </si>
  <si>
    <t>出欠</t>
  </si>
  <si>
    <t>高桑</t>
  </si>
  <si>
    <t>たいせい</t>
  </si>
  <si>
    <t>たいち</t>
  </si>
  <si>
    <t>浅倉</t>
  </si>
  <si>
    <t xml:space="preserve">ゆずは </t>
  </si>
  <si>
    <t>りひと</t>
  </si>
  <si>
    <t>保科</t>
  </si>
  <si>
    <t>そうたろう</t>
  </si>
  <si>
    <t>竹内</t>
  </si>
  <si>
    <t>ことは</t>
  </si>
  <si>
    <t>すばる</t>
  </si>
  <si>
    <t>あゆむ</t>
  </si>
  <si>
    <t>巴</t>
  </si>
  <si>
    <t>みこと</t>
  </si>
  <si>
    <t>けんしん</t>
  </si>
  <si>
    <t>みすず</t>
  </si>
  <si>
    <t>武田</t>
  </si>
  <si>
    <t>つかさ</t>
  </si>
  <si>
    <t>さくら</t>
  </si>
  <si>
    <t>小林</t>
  </si>
  <si>
    <t>ひなた</t>
  </si>
  <si>
    <t>凛</t>
  </si>
  <si>
    <t>杏</t>
  </si>
  <si>
    <t>米田</t>
  </si>
  <si>
    <t>あやの</t>
  </si>
  <si>
    <t>いちと</t>
  </si>
  <si>
    <t>世良</t>
  </si>
  <si>
    <t>菅原</t>
  </si>
  <si>
    <t>涌井</t>
  </si>
  <si>
    <t>令和5年度　収支報告書　　　AｔｅｌｉｅｒⅯ840</t>
  </si>
  <si>
    <t>科目</t>
  </si>
  <si>
    <t>決算額</t>
  </si>
  <si>
    <t>摘要</t>
  </si>
  <si>
    <t>前年度繰越</t>
  </si>
  <si>
    <t>会費収入</t>
  </si>
  <si>
    <t>材料費収入</t>
  </si>
  <si>
    <t>施設使用料</t>
  </si>
  <si>
    <t>繰越</t>
  </si>
  <si>
    <t>ネコカボション</t>
  </si>
  <si>
    <t>12mmカボション</t>
  </si>
  <si>
    <t>ノンホールじゅし</t>
  </si>
  <si>
    <t>リング11号ニッケルフリー</t>
  </si>
  <si>
    <t>糸代</t>
  </si>
  <si>
    <t>エタノールインク</t>
  </si>
  <si>
    <t>両面テープ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</si>
</sst>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m&quot;月&quot;d&quot;日&quot;"/>
    <numFmt numFmtId="166" formatCode="yyyy/m/d"/>
  </numFmts>
  <fonts count="15"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theme="1"/>
      <name val="MS PGothic"/>
      <family val="2"/>
    </font>
    <font>
      <sz val="8"/>
      <color theme="1"/>
      <name val="MS PGothic"/>
      <family val="2"/>
    </font>
    <font>
      <sz val="9"/>
      <color theme="1"/>
      <name val="MS PGothic"/>
      <family val="2"/>
    </font>
    <font>
      <sz val="11"/>
      <name val="Calibri"/>
      <family val="2"/>
    </font>
    <font>
      <u/>
      <sz val="9"/>
      <color theme="1"/>
      <name val="MS PGothic"/>
      <family val="2"/>
    </font>
    <font>
      <sz val="16"/>
      <color theme="1"/>
      <name val="MS PGothic"/>
      <family val="2"/>
    </font>
    <font>
      <sz val="11"/>
      <color theme="1"/>
      <name val="MS PGothic"/>
      <family val="2"/>
    </font>
    <font>
      <sz val="11"/>
      <color theme="1"/>
      <name val="ＭＳ ゴシック"/>
    </font>
    <font>
      <sz val="11"/>
      <color rgb="FFFF0000"/>
      <name val="MS PGothic"/>
      <family val="2"/>
    </font>
    <font>
      <sz val="11"/>
      <color theme="1"/>
      <name val="Ar丸ゴシック体m"/>
    </font>
    <font>
      <sz val="9"/>
      <color theme="1"/>
      <name val="Ar丸ゴシック体m"/>
    </font>
    <font>
      <b/>
      <sz val="12"/>
      <color theme="1"/>
      <name val="MS PGothic"/>
      <family val="2"/>
    </font>
    <font>
      <sz val="11"/>
      <color theme="1"/>
      <name val="Yu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CCFFFF"/>
        <bgColor rgb="FFCCFFFF"/>
      </patternFill>
    </fill>
  </fills>
  <borders count="7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38" fontId="2" fillId="0" borderId="0" xfId="0" applyNumberFormat="1" applyFont="1" applyAlignment="1">
      <alignment horizontal="left" vertical="center"/>
    </xf>
    <xf numFmtId="38" fontId="3" fillId="0" borderId="0" xfId="0" applyNumberFormat="1" applyFont="1" applyAlignment="1">
      <alignment horizontal="left" vertical="center"/>
    </xf>
    <xf numFmtId="38" fontId="4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64" fontId="3" fillId="2" borderId="9" xfId="0" applyNumberFormat="1" applyFont="1" applyFill="1" applyBorder="1" applyAlignment="1">
      <alignment vertical="center"/>
    </xf>
    <xf numFmtId="164" fontId="2" fillId="2" borderId="10" xfId="0" applyNumberFormat="1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38" fontId="2" fillId="0" borderId="0" xfId="0" applyNumberFormat="1" applyFont="1" applyAlignment="1">
      <alignment vertical="center"/>
    </xf>
    <xf numFmtId="38" fontId="3" fillId="0" borderId="12" xfId="0" applyNumberFormat="1" applyFont="1" applyBorder="1" applyAlignment="1">
      <alignment vertical="center"/>
    </xf>
    <xf numFmtId="38" fontId="2" fillId="0" borderId="13" xfId="0" applyNumberFormat="1" applyFont="1" applyBorder="1" applyAlignment="1">
      <alignment vertical="center"/>
    </xf>
    <xf numFmtId="38" fontId="4" fillId="0" borderId="13" xfId="0" applyNumberFormat="1" applyFont="1" applyBorder="1" applyAlignment="1">
      <alignment vertical="center"/>
    </xf>
    <xf numFmtId="38" fontId="6" fillId="0" borderId="13" xfId="0" applyNumberFormat="1" applyFont="1" applyBorder="1" applyAlignment="1">
      <alignment vertical="center"/>
    </xf>
    <xf numFmtId="38" fontId="4" fillId="0" borderId="13" xfId="0" applyNumberFormat="1" applyFont="1" applyBorder="1" applyAlignment="1">
      <alignment horizontal="right" vertical="center"/>
    </xf>
    <xf numFmtId="38" fontId="2" fillId="0" borderId="0" xfId="0" applyNumberFormat="1" applyFont="1" applyAlignment="1">
      <alignment horizontal="center" vertical="center"/>
    </xf>
    <xf numFmtId="38" fontId="2" fillId="0" borderId="13" xfId="0" applyNumberFormat="1" applyFont="1" applyBorder="1" applyAlignment="1">
      <alignment horizontal="center" vertical="center"/>
    </xf>
    <xf numFmtId="38" fontId="4" fillId="0" borderId="13" xfId="0" applyNumberFormat="1" applyFont="1" applyBorder="1" applyAlignment="1">
      <alignment horizontal="left" vertical="center"/>
    </xf>
    <xf numFmtId="38" fontId="4" fillId="0" borderId="13" xfId="0" applyNumberFormat="1" applyFont="1" applyBorder="1" applyAlignment="1">
      <alignment horizontal="center" vertical="center"/>
    </xf>
    <xf numFmtId="38" fontId="4" fillId="0" borderId="7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vertical="center"/>
    </xf>
    <xf numFmtId="38" fontId="4" fillId="0" borderId="14" xfId="0" applyNumberFormat="1" applyFont="1" applyBorder="1" applyAlignment="1">
      <alignment vertical="center"/>
    </xf>
    <xf numFmtId="38" fontId="3" fillId="2" borderId="12" xfId="0" applyNumberFormat="1" applyFont="1" applyFill="1" applyBorder="1" applyAlignment="1">
      <alignment vertical="center"/>
    </xf>
    <xf numFmtId="38" fontId="2" fillId="2" borderId="13" xfId="0" applyNumberFormat="1" applyFont="1" applyFill="1" applyBorder="1" applyAlignment="1">
      <alignment vertical="center"/>
    </xf>
    <xf numFmtId="38" fontId="4" fillId="2" borderId="13" xfId="0" applyNumberFormat="1" applyFont="1" applyFill="1" applyBorder="1" applyAlignment="1">
      <alignment vertical="center"/>
    </xf>
    <xf numFmtId="38" fontId="2" fillId="0" borderId="15" xfId="0" applyNumberFormat="1" applyFont="1" applyBorder="1" applyAlignment="1">
      <alignment horizontal="center" vertical="center"/>
    </xf>
    <xf numFmtId="38" fontId="4" fillId="0" borderId="16" xfId="0" applyNumberFormat="1" applyFont="1" applyBorder="1" applyAlignment="1">
      <alignment vertical="center"/>
    </xf>
    <xf numFmtId="38" fontId="4" fillId="0" borderId="8" xfId="0" applyNumberFormat="1" applyFont="1" applyBorder="1" applyAlignment="1">
      <alignment vertical="center"/>
    </xf>
    <xf numFmtId="38" fontId="4" fillId="0" borderId="1" xfId="0" applyNumberFormat="1" applyFont="1" applyBorder="1" applyAlignment="1">
      <alignment vertical="center"/>
    </xf>
    <xf numFmtId="38" fontId="4" fillId="0" borderId="17" xfId="0" applyNumberFormat="1" applyFont="1" applyBorder="1" applyAlignment="1">
      <alignment vertical="center"/>
    </xf>
    <xf numFmtId="38" fontId="2" fillId="0" borderId="18" xfId="0" applyNumberFormat="1" applyFont="1" applyBorder="1" applyAlignment="1">
      <alignment horizontal="center" vertical="center"/>
    </xf>
    <xf numFmtId="38" fontId="4" fillId="3" borderId="13" xfId="0" applyNumberFormat="1" applyFont="1" applyFill="1" applyBorder="1" applyAlignment="1">
      <alignment vertical="center"/>
    </xf>
    <xf numFmtId="38" fontId="4" fillId="4" borderId="13" xfId="0" applyNumberFormat="1" applyFont="1" applyFill="1" applyBorder="1" applyAlignment="1">
      <alignment vertical="center"/>
    </xf>
    <xf numFmtId="38" fontId="3" fillId="2" borderId="19" xfId="0" applyNumberFormat="1" applyFont="1" applyFill="1" applyBorder="1" applyAlignment="1">
      <alignment vertical="center"/>
    </xf>
    <xf numFmtId="38" fontId="2" fillId="2" borderId="20" xfId="0" applyNumberFormat="1" applyFont="1" applyFill="1" applyBorder="1" applyAlignment="1">
      <alignment vertical="center"/>
    </xf>
    <xf numFmtId="38" fontId="4" fillId="2" borderId="20" xfId="0" applyNumberFormat="1" applyFont="1" applyFill="1" applyBorder="1" applyAlignment="1">
      <alignment vertical="center"/>
    </xf>
    <xf numFmtId="38" fontId="4" fillId="0" borderId="21" xfId="0" applyNumberFormat="1" applyFont="1" applyBorder="1" applyAlignment="1">
      <alignment vertical="center"/>
    </xf>
    <xf numFmtId="38" fontId="4" fillId="0" borderId="22" xfId="0" applyNumberFormat="1" applyFont="1" applyBorder="1" applyAlignment="1">
      <alignment vertical="center"/>
    </xf>
    <xf numFmtId="38" fontId="3" fillId="2" borderId="23" xfId="0" applyNumberFormat="1" applyFont="1" applyFill="1" applyBorder="1" applyAlignment="1">
      <alignment vertical="center"/>
    </xf>
    <xf numFmtId="38" fontId="2" fillId="2" borderId="24" xfId="0" applyNumberFormat="1" applyFont="1" applyFill="1" applyBorder="1" applyAlignment="1">
      <alignment vertical="center"/>
    </xf>
    <xf numFmtId="38" fontId="4" fillId="2" borderId="24" xfId="0" applyNumberFormat="1" applyFont="1" applyFill="1" applyBorder="1" applyAlignment="1">
      <alignment vertical="center"/>
    </xf>
    <xf numFmtId="38" fontId="4" fillId="0" borderId="24" xfId="0" applyNumberFormat="1" applyFont="1" applyBorder="1" applyAlignment="1">
      <alignment vertical="center"/>
    </xf>
    <xf numFmtId="38" fontId="4" fillId="0" borderId="25" xfId="0" applyNumberFormat="1" applyFont="1" applyBorder="1" applyAlignment="1">
      <alignment vertical="center"/>
    </xf>
    <xf numFmtId="38" fontId="3" fillId="0" borderId="0" xfId="0" applyNumberFormat="1" applyFont="1" applyAlignment="1">
      <alignment vertical="center"/>
    </xf>
    <xf numFmtId="38" fontId="4" fillId="0" borderId="0" xfId="0" applyNumberFormat="1" applyFont="1" applyAlignment="1">
      <alignment vertical="center"/>
    </xf>
    <xf numFmtId="38" fontId="2" fillId="5" borderId="0" xfId="0" applyNumberFormat="1" applyFont="1" applyFill="1" applyAlignment="1">
      <alignment vertical="center"/>
    </xf>
    <xf numFmtId="38" fontId="2" fillId="6" borderId="0" xfId="0" applyNumberFormat="1" applyFont="1" applyFill="1" applyAlignment="1">
      <alignment vertical="center"/>
    </xf>
    <xf numFmtId="38" fontId="2" fillId="7" borderId="26" xfId="0" applyNumberFormat="1" applyFont="1" applyFill="1" applyBorder="1" applyAlignment="1">
      <alignment horizontal="center" vertical="center"/>
    </xf>
    <xf numFmtId="38" fontId="2" fillId="7" borderId="26" xfId="0" applyNumberFormat="1" applyFont="1" applyFill="1" applyBorder="1" applyAlignment="1">
      <alignment vertical="center"/>
    </xf>
    <xf numFmtId="38" fontId="4" fillId="7" borderId="26" xfId="0" applyNumberFormat="1" applyFont="1" applyFill="1" applyBorder="1" applyAlignment="1">
      <alignment horizontal="right" vertical="center"/>
    </xf>
    <xf numFmtId="38" fontId="4" fillId="7" borderId="26" xfId="0" applyNumberFormat="1" applyFont="1" applyFill="1" applyBorder="1" applyAlignment="1">
      <alignment vertical="center"/>
    </xf>
    <xf numFmtId="38" fontId="2" fillId="0" borderId="3" xfId="0" applyNumberFormat="1" applyFont="1" applyBorder="1" applyAlignment="1">
      <alignment vertical="center"/>
    </xf>
    <xf numFmtId="38" fontId="2" fillId="0" borderId="29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31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66" fontId="8" fillId="0" borderId="34" xfId="0" applyNumberFormat="1" applyFont="1" applyBorder="1" applyAlignment="1">
      <alignment vertical="center"/>
    </xf>
    <xf numFmtId="166" fontId="8" fillId="0" borderId="35" xfId="0" applyNumberFormat="1" applyFont="1" applyBorder="1" applyAlignment="1">
      <alignment vertical="center"/>
    </xf>
    <xf numFmtId="0" fontId="8" fillId="0" borderId="33" xfId="0" applyFont="1" applyBorder="1" applyAlignment="1">
      <alignment horizontal="center" vertical="center"/>
    </xf>
    <xf numFmtId="38" fontId="8" fillId="0" borderId="34" xfId="0" applyNumberFormat="1" applyFont="1" applyBorder="1" applyAlignment="1">
      <alignment vertical="center"/>
    </xf>
    <xf numFmtId="38" fontId="8" fillId="0" borderId="35" xfId="0" applyNumberFormat="1" applyFont="1" applyBorder="1" applyAlignment="1">
      <alignment vertical="center"/>
    </xf>
    <xf numFmtId="38" fontId="8" fillId="0" borderId="37" xfId="0" applyNumberFormat="1" applyFont="1" applyBorder="1" applyAlignment="1">
      <alignment vertical="center"/>
    </xf>
    <xf numFmtId="38" fontId="8" fillId="0" borderId="11" xfId="0" applyNumberFormat="1" applyFont="1" applyBorder="1" applyAlignment="1">
      <alignment vertical="center"/>
    </xf>
    <xf numFmtId="38" fontId="8" fillId="0" borderId="13" xfId="0" applyNumberFormat="1" applyFont="1" applyBorder="1" applyAlignment="1">
      <alignment vertical="center"/>
    </xf>
    <xf numFmtId="38" fontId="8" fillId="0" borderId="39" xfId="0" applyNumberFormat="1" applyFont="1" applyBorder="1" applyAlignment="1">
      <alignment vertical="center"/>
    </xf>
    <xf numFmtId="38" fontId="8" fillId="0" borderId="41" xfId="0" applyNumberFormat="1" applyFont="1" applyBorder="1" applyAlignment="1">
      <alignment vertical="center"/>
    </xf>
    <xf numFmtId="38" fontId="8" fillId="0" borderId="42" xfId="0" applyNumberFormat="1" applyFont="1" applyBorder="1" applyAlignment="1">
      <alignment vertical="center"/>
    </xf>
    <xf numFmtId="38" fontId="8" fillId="0" borderId="43" xfId="0" applyNumberFormat="1" applyFont="1" applyBorder="1" applyAlignment="1">
      <alignment horizontal="center" vertical="center"/>
    </xf>
    <xf numFmtId="38" fontId="8" fillId="0" borderId="44" xfId="0" applyNumberFormat="1" applyFont="1" applyBorder="1" applyAlignment="1">
      <alignment vertical="center"/>
    </xf>
    <xf numFmtId="38" fontId="8" fillId="0" borderId="45" xfId="0" applyNumberFormat="1" applyFont="1" applyBorder="1" applyAlignment="1">
      <alignment vertical="center"/>
    </xf>
    <xf numFmtId="38" fontId="8" fillId="0" borderId="14" xfId="0" applyNumberFormat="1" applyFont="1" applyBorder="1" applyAlignment="1">
      <alignment vertical="center"/>
    </xf>
    <xf numFmtId="38" fontId="8" fillId="0" borderId="13" xfId="0" applyNumberFormat="1" applyFont="1" applyBorder="1" applyAlignment="1">
      <alignment horizontal="right" vertical="center"/>
    </xf>
    <xf numFmtId="38" fontId="8" fillId="0" borderId="16" xfId="0" applyNumberFormat="1" applyFont="1" applyBorder="1" applyAlignment="1">
      <alignment vertical="center"/>
    </xf>
    <xf numFmtId="38" fontId="8" fillId="0" borderId="24" xfId="0" applyNumberFormat="1" applyFont="1" applyBorder="1" applyAlignment="1">
      <alignment vertical="center"/>
    </xf>
    <xf numFmtId="38" fontId="8" fillId="0" borderId="25" xfId="0" applyNumberFormat="1" applyFont="1" applyBorder="1" applyAlignment="1">
      <alignment vertical="center"/>
    </xf>
    <xf numFmtId="0" fontId="8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48" xfId="0" applyFont="1" applyBorder="1" applyAlignment="1">
      <alignment vertical="center"/>
    </xf>
    <xf numFmtId="0" fontId="8" fillId="0" borderId="49" xfId="0" applyFont="1" applyBorder="1" applyAlignment="1">
      <alignment vertical="center"/>
    </xf>
    <xf numFmtId="0" fontId="8" fillId="0" borderId="10" xfId="0" applyFont="1" applyBorder="1" applyAlignment="1">
      <alignment horizontal="right" vertical="center"/>
    </xf>
    <xf numFmtId="38" fontId="8" fillId="0" borderId="10" xfId="0" applyNumberFormat="1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38" fontId="8" fillId="0" borderId="1" xfId="0" applyNumberFormat="1" applyFont="1" applyBorder="1" applyAlignment="1">
      <alignment vertical="center"/>
    </xf>
    <xf numFmtId="38" fontId="8" fillId="0" borderId="50" xfId="0" applyNumberFormat="1" applyFont="1" applyBorder="1" applyAlignment="1">
      <alignment vertical="center"/>
    </xf>
    <xf numFmtId="0" fontId="8" fillId="0" borderId="38" xfId="0" applyFont="1" applyBorder="1" applyAlignment="1">
      <alignment horizontal="right" vertical="center"/>
    </xf>
    <xf numFmtId="38" fontId="8" fillId="0" borderId="7" xfId="0" applyNumberFormat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38" fontId="8" fillId="0" borderId="8" xfId="0" applyNumberFormat="1" applyFont="1" applyBorder="1" applyAlignment="1">
      <alignment vertical="center"/>
    </xf>
    <xf numFmtId="0" fontId="8" fillId="0" borderId="51" xfId="0" applyFont="1" applyBorder="1" applyAlignment="1">
      <alignment horizontal="right" vertical="center"/>
    </xf>
    <xf numFmtId="38" fontId="10" fillId="0" borderId="1" xfId="0" applyNumberFormat="1" applyFont="1" applyBorder="1" applyAlignment="1">
      <alignment vertical="center"/>
    </xf>
    <xf numFmtId="38" fontId="8" fillId="0" borderId="0" xfId="0" applyNumberFormat="1" applyFont="1" applyAlignment="1">
      <alignment vertical="center"/>
    </xf>
    <xf numFmtId="0" fontId="8" fillId="0" borderId="40" xfId="0" applyFont="1" applyBorder="1" applyAlignment="1">
      <alignment horizontal="right" vertical="center"/>
    </xf>
    <xf numFmtId="38" fontId="10" fillId="0" borderId="41" xfId="0" applyNumberFormat="1" applyFont="1" applyBorder="1" applyAlignment="1">
      <alignment vertical="center"/>
    </xf>
    <xf numFmtId="0" fontId="8" fillId="0" borderId="43" xfId="0" applyFont="1" applyBorder="1" applyAlignment="1">
      <alignment horizontal="center" vertical="center"/>
    </xf>
    <xf numFmtId="0" fontId="8" fillId="0" borderId="13" xfId="0" applyFont="1" applyBorder="1" applyAlignment="1">
      <alignment horizontal="right" vertical="center"/>
    </xf>
    <xf numFmtId="38" fontId="8" fillId="0" borderId="31" xfId="0" applyNumberFormat="1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1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11" fillId="0" borderId="55" xfId="0" applyFont="1" applyBorder="1" applyAlignment="1">
      <alignment horizontal="center" vertical="center"/>
    </xf>
    <xf numFmtId="0" fontId="11" fillId="0" borderId="55" xfId="0" applyFont="1" applyBorder="1" applyAlignment="1">
      <alignment vertical="center"/>
    </xf>
    <xf numFmtId="0" fontId="12" fillId="0" borderId="55" xfId="0" applyFont="1" applyBorder="1" applyAlignment="1">
      <alignment vertical="center"/>
    </xf>
    <xf numFmtId="0" fontId="8" fillId="0" borderId="21" xfId="0" applyFont="1" applyBorder="1" applyAlignment="1">
      <alignment horizontal="right" vertical="center"/>
    </xf>
    <xf numFmtId="0" fontId="8" fillId="0" borderId="2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8" fillId="0" borderId="28" xfId="0" applyFont="1" applyBorder="1" applyAlignment="1">
      <alignment horizontal="left" vertical="center"/>
    </xf>
    <xf numFmtId="0" fontId="8" fillId="0" borderId="28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8" fillId="0" borderId="28" xfId="0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8" fillId="0" borderId="56" xfId="0" applyFont="1" applyBorder="1" applyAlignment="1">
      <alignment vertical="center"/>
    </xf>
    <xf numFmtId="0" fontId="8" fillId="0" borderId="56" xfId="0" applyFont="1" applyBorder="1" applyAlignment="1">
      <alignment horizontal="left" vertical="center"/>
    </xf>
    <xf numFmtId="0" fontId="4" fillId="0" borderId="56" xfId="0" applyFont="1" applyBorder="1" applyAlignment="1">
      <alignment vertical="center"/>
    </xf>
    <xf numFmtId="0" fontId="8" fillId="0" borderId="56" xfId="0" applyFont="1" applyBorder="1" applyAlignment="1">
      <alignment horizontal="right" vertical="center"/>
    </xf>
    <xf numFmtId="0" fontId="4" fillId="0" borderId="53" xfId="0" applyFont="1" applyBorder="1" applyAlignment="1">
      <alignment horizontal="center" vertical="center"/>
    </xf>
    <xf numFmtId="0" fontId="8" fillId="0" borderId="53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11" fillId="0" borderId="13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8" fillId="0" borderId="50" xfId="0" applyFont="1" applyBorder="1" applyAlignment="1">
      <alignment vertical="center"/>
    </xf>
    <xf numFmtId="0" fontId="11" fillId="0" borderId="27" xfId="0" applyFont="1" applyBorder="1" applyAlignment="1">
      <alignment horizontal="left" vertical="center"/>
    </xf>
    <xf numFmtId="0" fontId="11" fillId="0" borderId="55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38" fontId="8" fillId="0" borderId="13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58" xfId="0" applyFont="1" applyBorder="1" applyAlignment="1">
      <alignment vertical="center"/>
    </xf>
    <xf numFmtId="0" fontId="8" fillId="0" borderId="59" xfId="0" applyFont="1" applyBorder="1" applyAlignment="1">
      <alignment vertical="center"/>
    </xf>
    <xf numFmtId="0" fontId="8" fillId="0" borderId="60" xfId="0" applyFont="1" applyBorder="1" applyAlignment="1">
      <alignment vertical="center"/>
    </xf>
    <xf numFmtId="38" fontId="8" fillId="0" borderId="15" xfId="0" applyNumberFormat="1" applyFont="1" applyBorder="1" applyAlignment="1">
      <alignment vertical="center"/>
    </xf>
    <xf numFmtId="0" fontId="8" fillId="0" borderId="61" xfId="0" applyFont="1" applyBorder="1" applyAlignment="1">
      <alignment vertical="center"/>
    </xf>
    <xf numFmtId="0" fontId="8" fillId="0" borderId="62" xfId="0" applyFont="1" applyBorder="1" applyAlignment="1">
      <alignment vertical="center"/>
    </xf>
    <xf numFmtId="38" fontId="8" fillId="0" borderId="63" xfId="0" applyNumberFormat="1" applyFont="1" applyBorder="1" applyAlignment="1">
      <alignment vertical="center"/>
    </xf>
    <xf numFmtId="0" fontId="8" fillId="0" borderId="64" xfId="0" applyFont="1" applyBorder="1" applyAlignment="1">
      <alignment vertical="center"/>
    </xf>
    <xf numFmtId="0" fontId="8" fillId="0" borderId="65" xfId="0" applyFont="1" applyBorder="1" applyAlignment="1">
      <alignment vertical="center"/>
    </xf>
    <xf numFmtId="38" fontId="8" fillId="0" borderId="21" xfId="0" applyNumberFormat="1" applyFont="1" applyBorder="1" applyAlignment="1">
      <alignment vertical="center"/>
    </xf>
    <xf numFmtId="0" fontId="8" fillId="0" borderId="66" xfId="0" applyFont="1" applyBorder="1" applyAlignment="1">
      <alignment vertical="center"/>
    </xf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1" fillId="0" borderId="60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38" fontId="8" fillId="0" borderId="34" xfId="0" applyNumberFormat="1" applyFont="1" applyBorder="1" applyAlignment="1">
      <alignment horizontal="center" vertical="center"/>
    </xf>
    <xf numFmtId="38" fontId="8" fillId="0" borderId="38" xfId="0" applyNumberFormat="1" applyFont="1" applyBorder="1" applyAlignment="1">
      <alignment horizontal="center" vertical="center"/>
    </xf>
    <xf numFmtId="38" fontId="8" fillId="0" borderId="51" xfId="0" applyNumberFormat="1" applyFont="1" applyBorder="1" applyAlignment="1">
      <alignment horizontal="center" vertical="center"/>
    </xf>
    <xf numFmtId="38" fontId="8" fillId="0" borderId="40" xfId="0" applyNumberFormat="1" applyFont="1" applyBorder="1" applyAlignment="1">
      <alignment horizontal="center" vertical="center"/>
    </xf>
    <xf numFmtId="165" fontId="8" fillId="0" borderId="31" xfId="0" applyNumberFormat="1" applyFont="1" applyBorder="1" applyAlignment="1">
      <alignment horizontal="center" vertical="center"/>
    </xf>
    <xf numFmtId="165" fontId="8" fillId="0" borderId="32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38" fontId="10" fillId="0" borderId="13" xfId="0" applyNumberFormat="1" applyFont="1" applyBorder="1" applyAlignment="1">
      <alignment vertical="center"/>
    </xf>
    <xf numFmtId="0" fontId="8" fillId="0" borderId="69" xfId="0" applyFont="1" applyBorder="1" applyAlignment="1">
      <alignment horizontal="right" vertical="center"/>
    </xf>
    <xf numFmtId="0" fontId="8" fillId="0" borderId="33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38" fontId="8" fillId="0" borderId="46" xfId="0" applyNumberFormat="1" applyFont="1" applyBorder="1" applyAlignment="1">
      <alignment horizontal="center" vertical="center"/>
    </xf>
    <xf numFmtId="38" fontId="2" fillId="0" borderId="52" xfId="0" applyNumberFormat="1" applyFont="1" applyBorder="1" applyAlignment="1">
      <alignment horizontal="center" vertical="center"/>
    </xf>
    <xf numFmtId="0" fontId="5" fillId="0" borderId="53" xfId="0" applyFont="1" applyBorder="1" applyAlignment="1">
      <alignment vertical="center"/>
    </xf>
    <xf numFmtId="38" fontId="4" fillId="0" borderId="2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38" fontId="4" fillId="0" borderId="4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38" fontId="4" fillId="0" borderId="7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38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7" xfId="0" applyFont="1" applyBorder="1" applyAlignment="1">
      <alignment vertical="center"/>
    </xf>
    <xf numFmtId="38" fontId="2" fillId="0" borderId="2" xfId="0" applyNumberFormat="1" applyFont="1" applyBorder="1" applyAlignment="1">
      <alignment horizontal="left" vertical="center" wrapText="1"/>
    </xf>
    <xf numFmtId="0" fontId="5" fillId="0" borderId="18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1" fillId="0" borderId="3" xfId="0" applyFont="1" applyBorder="1" applyAlignment="1">
      <alignment horizontal="left" vertical="center"/>
    </xf>
    <xf numFmtId="0" fontId="5" fillId="0" borderId="29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5" fillId="0" borderId="39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4" fillId="0" borderId="54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57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5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0" fontId="5" fillId="0" borderId="4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ppiness59_0106@docomo.ne.j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999"/>
  <sheetViews>
    <sheetView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M4" sqref="M4"/>
    </sheetView>
  </sheetViews>
  <sheetFormatPr defaultColWidth="14.44140625" defaultRowHeight="15" customHeight="1"/>
  <cols>
    <col min="1" max="1" width="3.44140625" customWidth="1"/>
    <col min="2" max="2" width="2.33203125" customWidth="1"/>
    <col min="3" max="3" width="9" hidden="1" customWidth="1"/>
    <col min="4" max="4" width="11.5546875" customWidth="1"/>
    <col min="5" max="5" width="13.6640625" hidden="1" customWidth="1"/>
    <col min="6" max="6" width="18.88671875" hidden="1" customWidth="1"/>
    <col min="7" max="7" width="11.44140625" hidden="1" customWidth="1"/>
    <col min="8" max="8" width="28.6640625" hidden="1" customWidth="1"/>
    <col min="9" max="9" width="15" hidden="1" customWidth="1"/>
    <col min="10" max="10" width="14.44140625" hidden="1"/>
    <col min="11" max="11" width="5.44140625" customWidth="1"/>
    <col min="12" max="12" width="6.88671875" customWidth="1"/>
    <col min="13" max="13" width="5.44140625" customWidth="1"/>
    <col min="14" max="14" width="7.44140625" customWidth="1"/>
    <col min="15" max="15" width="5.44140625" customWidth="1"/>
    <col min="16" max="16" width="7.44140625" customWidth="1"/>
    <col min="17" max="17" width="5.44140625" customWidth="1"/>
    <col min="18" max="18" width="7.5546875" customWidth="1"/>
    <col min="19" max="19" width="5.44140625" customWidth="1"/>
    <col min="20" max="20" width="7" customWidth="1"/>
    <col min="21" max="21" width="5.44140625" customWidth="1"/>
    <col min="22" max="22" width="6.88671875" customWidth="1"/>
    <col min="23" max="23" width="5.44140625" customWidth="1"/>
    <col min="24" max="24" width="7.44140625" customWidth="1"/>
    <col min="25" max="25" width="5.44140625" customWidth="1"/>
    <col min="26" max="26" width="7.5546875" customWidth="1"/>
    <col min="27" max="27" width="5.44140625" customWidth="1"/>
    <col min="28" max="28" width="8.33203125" customWidth="1"/>
    <col min="29" max="29" width="5.44140625" customWidth="1"/>
    <col min="30" max="30" width="6.88671875" customWidth="1"/>
    <col min="31" max="31" width="5.44140625" customWidth="1"/>
    <col min="32" max="32" width="6.88671875" customWidth="1"/>
    <col min="33" max="33" width="5.44140625" customWidth="1"/>
    <col min="34" max="34" width="7.44140625" customWidth="1"/>
    <col min="35" max="35" width="5.44140625" customWidth="1"/>
    <col min="36" max="36" width="6.44140625" customWidth="1"/>
    <col min="37" max="37" width="5.44140625" customWidth="1"/>
    <col min="38" max="38" width="7.109375" customWidth="1"/>
    <col min="39" max="39" width="5.44140625" customWidth="1"/>
    <col min="40" max="40" width="7.44140625" customWidth="1"/>
    <col min="41" max="41" width="5.44140625" customWidth="1"/>
    <col min="42" max="42" width="7.109375" customWidth="1"/>
    <col min="43" max="43" width="5.44140625" customWidth="1"/>
    <col min="44" max="44" width="7.44140625" customWidth="1"/>
    <col min="45" max="45" width="5.44140625" customWidth="1"/>
    <col min="46" max="46" width="6.109375" customWidth="1"/>
    <col min="47" max="47" width="5.44140625" customWidth="1"/>
    <col min="48" max="48" width="6.88671875" customWidth="1"/>
    <col min="49" max="49" width="6.109375" customWidth="1"/>
    <col min="50" max="50" width="7.109375" customWidth="1"/>
    <col min="51" max="51" width="5.44140625" customWidth="1"/>
    <col min="52" max="52" width="6.88671875" customWidth="1"/>
    <col min="53" max="53" width="6.109375" customWidth="1"/>
    <col min="54" max="54" width="7.109375" customWidth="1"/>
    <col min="55" max="56" width="9" customWidth="1"/>
  </cols>
  <sheetData>
    <row r="1" spans="1:58" ht="15" customHeight="1">
      <c r="D1" s="1" t="s">
        <v>0</v>
      </c>
    </row>
    <row r="2" spans="1:58" ht="18" customHeight="1">
      <c r="A2" s="2"/>
      <c r="B2" s="3"/>
      <c r="C2" s="2"/>
      <c r="D2" s="4" t="s">
        <v>1</v>
      </c>
      <c r="E2" s="4"/>
      <c r="F2" s="4"/>
      <c r="G2" s="4"/>
      <c r="H2" s="4"/>
      <c r="I2" s="4"/>
      <c r="J2" s="4"/>
      <c r="K2" s="178" t="s">
        <v>2</v>
      </c>
      <c r="L2" s="179"/>
      <c r="M2" s="180" t="s">
        <v>2</v>
      </c>
      <c r="N2" s="173"/>
      <c r="O2" s="180"/>
      <c r="P2" s="173"/>
      <c r="Q2" s="180"/>
      <c r="R2" s="181"/>
      <c r="S2" s="178"/>
      <c r="T2" s="179"/>
      <c r="U2" s="182"/>
      <c r="V2" s="183"/>
      <c r="W2" s="178"/>
      <c r="X2" s="179"/>
      <c r="Y2" s="178"/>
      <c r="Z2" s="179"/>
      <c r="AA2" s="178"/>
      <c r="AB2" s="179"/>
      <c r="AC2" s="178"/>
      <c r="AD2" s="179"/>
      <c r="AE2" s="178"/>
      <c r="AF2" s="179"/>
      <c r="AG2" s="178"/>
      <c r="AH2" s="179"/>
      <c r="AI2" s="178"/>
      <c r="AJ2" s="179"/>
      <c r="AK2" s="180"/>
      <c r="AL2" s="173"/>
      <c r="AM2" s="180"/>
      <c r="AN2" s="173"/>
      <c r="AO2" s="178"/>
      <c r="AP2" s="179"/>
      <c r="AQ2" s="178"/>
      <c r="AR2" s="179"/>
      <c r="AS2" s="178"/>
      <c r="AT2" s="179"/>
      <c r="AU2" s="180"/>
      <c r="AV2" s="173"/>
      <c r="AW2" s="180"/>
      <c r="AX2" s="173"/>
      <c r="AY2" s="180"/>
      <c r="AZ2" s="173"/>
      <c r="BA2" s="180"/>
      <c r="BB2" s="173"/>
      <c r="BC2" s="2"/>
      <c r="BD2" s="2"/>
      <c r="BE2" s="5"/>
      <c r="BF2" s="5"/>
    </row>
    <row r="3" spans="1:58" ht="18.75" customHeight="1">
      <c r="A3" s="6"/>
      <c r="B3" s="7"/>
      <c r="C3" s="8" t="s">
        <v>3</v>
      </c>
      <c r="D3" s="9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9">
        <v>46132</v>
      </c>
      <c r="L3" s="9" t="s">
        <v>11</v>
      </c>
      <c r="M3" s="9">
        <v>46139</v>
      </c>
      <c r="N3" s="9" t="s">
        <v>11</v>
      </c>
      <c r="O3" s="9">
        <v>46153</v>
      </c>
      <c r="P3" s="9" t="s">
        <v>11</v>
      </c>
      <c r="Q3" s="9">
        <v>46167</v>
      </c>
      <c r="R3" s="9" t="s">
        <v>11</v>
      </c>
      <c r="S3" s="9">
        <v>46181</v>
      </c>
      <c r="T3" s="9" t="s">
        <v>11</v>
      </c>
      <c r="U3" s="9">
        <v>46195</v>
      </c>
      <c r="V3" s="9" t="s">
        <v>11</v>
      </c>
      <c r="W3" s="9">
        <v>45474</v>
      </c>
      <c r="X3" s="9" t="s">
        <v>11</v>
      </c>
      <c r="Y3" s="9">
        <v>45852</v>
      </c>
      <c r="Z3" s="9" t="s">
        <v>11</v>
      </c>
      <c r="AA3" s="9">
        <v>45906</v>
      </c>
      <c r="AB3" s="9" t="s">
        <v>11</v>
      </c>
      <c r="AC3" s="9">
        <v>45926</v>
      </c>
      <c r="AD3" s="9" t="s">
        <v>11</v>
      </c>
      <c r="AE3" s="9">
        <v>45936</v>
      </c>
      <c r="AF3" s="9" t="s">
        <v>11</v>
      </c>
      <c r="AG3" s="9">
        <v>45957</v>
      </c>
      <c r="AH3" s="9" t="s">
        <v>11</v>
      </c>
      <c r="AI3" s="9">
        <v>45971</v>
      </c>
      <c r="AJ3" s="9" t="s">
        <v>11</v>
      </c>
      <c r="AK3" s="9">
        <v>45999</v>
      </c>
      <c r="AL3" s="9" t="s">
        <v>11</v>
      </c>
      <c r="AM3" s="9">
        <v>46006</v>
      </c>
      <c r="AN3" s="9" t="s">
        <v>11</v>
      </c>
      <c r="AO3" s="9">
        <v>46007</v>
      </c>
      <c r="AP3" s="9" t="s">
        <v>11</v>
      </c>
      <c r="AQ3" s="9">
        <v>46048</v>
      </c>
      <c r="AR3" s="9" t="s">
        <v>11</v>
      </c>
      <c r="AS3" s="9">
        <v>45684</v>
      </c>
      <c r="AT3" s="9" t="s">
        <v>11</v>
      </c>
      <c r="AU3" s="9">
        <v>45698</v>
      </c>
      <c r="AV3" s="9" t="s">
        <v>11</v>
      </c>
      <c r="AW3" s="9">
        <v>45705</v>
      </c>
      <c r="AX3" s="11" t="s">
        <v>11</v>
      </c>
      <c r="AY3" s="9">
        <v>45726</v>
      </c>
      <c r="AZ3" s="9" t="s">
        <v>11</v>
      </c>
      <c r="BA3" s="9">
        <v>45733</v>
      </c>
      <c r="BB3" s="11" t="s">
        <v>11</v>
      </c>
      <c r="BC3" s="6"/>
      <c r="BD3" s="6"/>
    </row>
    <row r="4" spans="1:58" ht="18.75" customHeight="1">
      <c r="A4" s="12"/>
      <c r="B4" s="13">
        <v>1</v>
      </c>
      <c r="C4" s="14" t="s">
        <v>12</v>
      </c>
      <c r="D4" s="15" t="s">
        <v>13</v>
      </c>
      <c r="E4" s="15" t="s">
        <v>14</v>
      </c>
      <c r="F4" s="15" t="s">
        <v>15</v>
      </c>
      <c r="G4" s="15" t="s">
        <v>16</v>
      </c>
      <c r="H4" s="16" t="s">
        <v>17</v>
      </c>
      <c r="I4" s="15"/>
      <c r="J4" s="17" t="s">
        <v>18</v>
      </c>
      <c r="K4" s="18" t="s">
        <v>19</v>
      </c>
      <c r="L4" s="15">
        <v>0</v>
      </c>
      <c r="M4" s="18"/>
      <c r="N4" s="15"/>
      <c r="O4" s="18"/>
      <c r="P4" s="15"/>
      <c r="Q4" s="18"/>
      <c r="R4" s="15"/>
      <c r="S4" s="18"/>
      <c r="T4" s="15"/>
      <c r="U4" s="18"/>
      <c r="V4" s="15"/>
      <c r="W4" s="18"/>
      <c r="X4" s="15"/>
      <c r="Y4" s="18"/>
      <c r="Z4" s="15"/>
      <c r="AA4" s="18"/>
      <c r="AB4" s="15"/>
      <c r="AC4" s="18"/>
      <c r="AD4" s="15"/>
      <c r="AE4" s="18"/>
      <c r="AF4" s="15"/>
      <c r="AG4" s="18"/>
      <c r="AH4" s="15"/>
      <c r="AI4" s="18"/>
      <c r="AJ4" s="15"/>
      <c r="AK4" s="18"/>
      <c r="AL4" s="15"/>
      <c r="AM4" s="18"/>
      <c r="AN4" s="15"/>
      <c r="AO4" s="18"/>
      <c r="AP4" s="15"/>
      <c r="AQ4" s="18"/>
      <c r="AR4" s="15"/>
      <c r="AS4" s="19"/>
      <c r="AT4" s="15"/>
      <c r="AU4" s="18"/>
      <c r="AV4" s="15"/>
      <c r="AW4" s="18"/>
      <c r="AX4" s="15"/>
      <c r="AY4" s="18"/>
      <c r="AZ4" s="15"/>
      <c r="BA4" s="19"/>
      <c r="BB4" s="15">
        <v>200</v>
      </c>
      <c r="BC4" s="12"/>
      <c r="BD4" s="12"/>
    </row>
    <row r="5" spans="1:58" ht="18.75" customHeight="1">
      <c r="A5" s="12"/>
      <c r="B5" s="13"/>
      <c r="C5" s="14"/>
      <c r="D5" s="15" t="s">
        <v>20</v>
      </c>
      <c r="E5" s="15" t="s">
        <v>21</v>
      </c>
      <c r="F5" s="15" t="s">
        <v>22</v>
      </c>
      <c r="G5" s="15" t="s">
        <v>22</v>
      </c>
      <c r="H5" s="20"/>
      <c r="I5" s="20" t="s">
        <v>23</v>
      </c>
      <c r="J5" s="17" t="s">
        <v>24</v>
      </c>
      <c r="K5" s="21" t="s">
        <v>25</v>
      </c>
      <c r="L5" s="15"/>
      <c r="M5" s="21"/>
      <c r="N5" s="15"/>
      <c r="O5" s="21"/>
      <c r="P5" s="15"/>
      <c r="Q5" s="21"/>
      <c r="R5" s="15"/>
      <c r="S5" s="21"/>
      <c r="T5" s="15"/>
      <c r="U5" s="21"/>
      <c r="V5" s="15"/>
      <c r="W5" s="21"/>
      <c r="X5" s="22"/>
      <c r="Y5" s="21"/>
      <c r="Z5" s="22"/>
      <c r="AA5" s="21"/>
      <c r="AB5" s="22"/>
      <c r="AC5" s="21"/>
      <c r="AD5" s="22"/>
      <c r="AE5" s="21"/>
      <c r="AF5" s="22"/>
      <c r="AG5" s="21"/>
      <c r="AH5" s="15"/>
      <c r="AI5" s="21"/>
      <c r="AJ5" s="15"/>
      <c r="AK5" s="21"/>
      <c r="AL5" s="15"/>
      <c r="AM5" s="21"/>
      <c r="AN5" s="15"/>
      <c r="AO5" s="21"/>
      <c r="AP5" s="15"/>
      <c r="AQ5" s="21"/>
      <c r="AR5" s="15"/>
      <c r="AS5" s="21"/>
      <c r="AT5" s="15"/>
      <c r="AU5" s="21"/>
      <c r="AV5" s="15"/>
      <c r="AW5" s="21"/>
      <c r="AX5" s="15"/>
      <c r="AY5" s="21"/>
      <c r="AZ5" s="15"/>
      <c r="BA5" s="21"/>
      <c r="BB5" s="15"/>
      <c r="BC5" s="12"/>
      <c r="BD5" s="12"/>
    </row>
    <row r="6" spans="1:58" ht="18.75" customHeight="1">
      <c r="A6" s="12"/>
      <c r="B6" s="13"/>
      <c r="C6" s="14"/>
      <c r="D6" s="15" t="s">
        <v>26</v>
      </c>
      <c r="E6" s="15"/>
      <c r="F6" s="15"/>
      <c r="G6" s="15"/>
      <c r="H6" s="20"/>
      <c r="I6" s="20"/>
      <c r="J6" s="17"/>
      <c r="K6" s="21" t="s">
        <v>25</v>
      </c>
      <c r="L6" s="15"/>
      <c r="M6" s="21"/>
      <c r="N6" s="15"/>
      <c r="O6" s="21"/>
      <c r="P6" s="15"/>
      <c r="Q6" s="21"/>
      <c r="R6" s="15"/>
      <c r="S6" s="21"/>
      <c r="T6" s="15"/>
      <c r="U6" s="21"/>
      <c r="V6" s="15"/>
      <c r="W6" s="21"/>
      <c r="X6" s="15"/>
      <c r="Y6" s="21"/>
      <c r="Z6" s="15"/>
      <c r="AA6" s="21"/>
      <c r="AB6" s="15"/>
      <c r="AC6" s="21"/>
      <c r="AD6" s="15"/>
      <c r="AE6" s="21"/>
      <c r="AF6" s="15"/>
      <c r="AG6" s="21"/>
      <c r="AH6" s="15"/>
      <c r="AI6" s="21"/>
      <c r="AJ6" s="15"/>
      <c r="AK6" s="21"/>
      <c r="AL6" s="15"/>
      <c r="AM6" s="21"/>
      <c r="AN6" s="15"/>
      <c r="AO6" s="21"/>
      <c r="AP6" s="15"/>
      <c r="AQ6" s="21"/>
      <c r="AR6" s="15"/>
      <c r="AS6" s="21"/>
      <c r="AT6" s="15"/>
      <c r="AU6" s="21"/>
      <c r="AV6" s="15"/>
      <c r="AW6" s="21"/>
      <c r="AX6" s="15"/>
      <c r="AY6" s="21"/>
      <c r="AZ6" s="15"/>
      <c r="BA6" s="21"/>
      <c r="BB6" s="15"/>
      <c r="BC6" s="12"/>
      <c r="BD6" s="12"/>
    </row>
    <row r="7" spans="1:58" ht="18.75" customHeight="1">
      <c r="A7" s="12"/>
      <c r="B7" s="13">
        <v>2</v>
      </c>
      <c r="C7" s="14" t="s">
        <v>27</v>
      </c>
      <c r="D7" s="15" t="s">
        <v>28</v>
      </c>
      <c r="E7" s="15" t="s">
        <v>29</v>
      </c>
      <c r="F7" s="15" t="s">
        <v>30</v>
      </c>
      <c r="G7" s="15" t="s">
        <v>31</v>
      </c>
      <c r="H7" s="20"/>
      <c r="I7" s="20"/>
      <c r="J7" s="17"/>
      <c r="K7" s="21" t="s">
        <v>25</v>
      </c>
      <c r="L7" s="21"/>
      <c r="M7" s="21"/>
      <c r="N7" s="21"/>
      <c r="O7" s="21"/>
      <c r="P7" s="15"/>
      <c r="Q7" s="21"/>
      <c r="R7" s="15"/>
      <c r="S7" s="21"/>
      <c r="T7" s="15"/>
      <c r="U7" s="19"/>
      <c r="V7" s="15"/>
      <c r="W7" s="21"/>
      <c r="X7" s="15"/>
      <c r="Y7" s="21"/>
      <c r="Z7" s="15"/>
      <c r="AA7" s="21"/>
      <c r="AB7" s="15"/>
      <c r="AC7" s="21"/>
      <c r="AD7" s="15"/>
      <c r="AE7" s="21"/>
      <c r="AF7" s="15"/>
      <c r="AG7" s="21"/>
      <c r="AH7" s="15"/>
      <c r="AI7" s="21"/>
      <c r="AJ7" s="15"/>
      <c r="AK7" s="21"/>
      <c r="AL7" s="15"/>
      <c r="AM7" s="21"/>
      <c r="AN7" s="15"/>
      <c r="AO7" s="21"/>
      <c r="AP7" s="15"/>
      <c r="AQ7" s="21"/>
      <c r="AR7" s="15"/>
      <c r="AS7" s="21"/>
      <c r="AT7" s="15"/>
      <c r="AU7" s="21"/>
      <c r="AV7" s="15"/>
      <c r="AW7" s="21"/>
      <c r="AX7" s="15"/>
      <c r="AY7" s="21"/>
      <c r="AZ7" s="15"/>
      <c r="BA7" s="21"/>
      <c r="BB7" s="15"/>
      <c r="BC7" s="12"/>
      <c r="BD7" s="12"/>
    </row>
    <row r="8" spans="1:58" ht="18.75" customHeight="1">
      <c r="A8" s="12"/>
      <c r="B8" s="13"/>
      <c r="C8" s="14"/>
      <c r="D8" s="15" t="s">
        <v>32</v>
      </c>
      <c r="E8" s="15" t="s">
        <v>33</v>
      </c>
      <c r="F8" s="15" t="s">
        <v>22</v>
      </c>
      <c r="G8" s="15" t="s">
        <v>22</v>
      </c>
      <c r="H8" s="20"/>
      <c r="I8" s="20" t="s">
        <v>34</v>
      </c>
      <c r="J8" s="17"/>
      <c r="K8" s="21" t="s">
        <v>25</v>
      </c>
      <c r="L8" s="15"/>
      <c r="M8" s="21"/>
      <c r="N8" s="15"/>
      <c r="O8" s="21"/>
      <c r="P8" s="15"/>
      <c r="Q8" s="21"/>
      <c r="R8" s="15"/>
      <c r="S8" s="21"/>
      <c r="T8" s="15"/>
      <c r="U8" s="21"/>
      <c r="V8" s="15"/>
      <c r="W8" s="21"/>
      <c r="X8" s="15"/>
      <c r="Y8" s="21"/>
      <c r="Z8" s="15"/>
      <c r="AA8" s="21"/>
      <c r="AB8" s="15"/>
      <c r="AC8" s="21"/>
      <c r="AD8" s="15"/>
      <c r="AE8" s="21"/>
      <c r="AF8" s="15"/>
      <c r="AG8" s="21"/>
      <c r="AH8" s="15"/>
      <c r="AI8" s="21"/>
      <c r="AJ8" s="15"/>
      <c r="AK8" s="21"/>
      <c r="AL8" s="15"/>
      <c r="AM8" s="21"/>
      <c r="AN8" s="15"/>
      <c r="AO8" s="21"/>
      <c r="AP8" s="15"/>
      <c r="AQ8" s="21"/>
      <c r="AR8" s="15"/>
      <c r="AS8" s="21"/>
      <c r="AT8" s="15"/>
      <c r="AU8" s="21"/>
      <c r="AV8" s="15"/>
      <c r="AW8" s="21"/>
      <c r="AX8" s="15"/>
      <c r="AY8" s="21"/>
      <c r="AZ8" s="15"/>
      <c r="BA8" s="21"/>
      <c r="BB8" s="15"/>
      <c r="BC8" s="12"/>
      <c r="BD8" s="12"/>
    </row>
    <row r="9" spans="1:58" ht="18.75" customHeight="1">
      <c r="A9" s="12"/>
      <c r="B9" s="13"/>
      <c r="C9" s="14"/>
      <c r="D9" s="15" t="s">
        <v>35</v>
      </c>
      <c r="E9" s="15" t="s">
        <v>36</v>
      </c>
      <c r="F9" s="15" t="s">
        <v>22</v>
      </c>
      <c r="G9" s="15" t="s">
        <v>22</v>
      </c>
      <c r="H9" s="20"/>
      <c r="I9" s="20"/>
      <c r="J9" s="17"/>
      <c r="K9" s="21" t="s">
        <v>25</v>
      </c>
      <c r="L9" s="15"/>
      <c r="M9" s="21"/>
      <c r="N9" s="15"/>
      <c r="O9" s="21"/>
      <c r="P9" s="15"/>
      <c r="Q9" s="21"/>
      <c r="R9" s="15"/>
      <c r="S9" s="21"/>
      <c r="T9" s="15"/>
      <c r="U9" s="21"/>
      <c r="V9" s="15"/>
      <c r="W9" s="21"/>
      <c r="X9" s="15"/>
      <c r="Y9" s="21"/>
      <c r="Z9" s="15"/>
      <c r="AA9" s="21"/>
      <c r="AB9" s="15"/>
      <c r="AC9" s="21"/>
      <c r="AD9" s="15"/>
      <c r="AE9" s="21"/>
      <c r="AF9" s="15"/>
      <c r="AG9" s="21"/>
      <c r="AH9" s="15"/>
      <c r="AI9" s="21"/>
      <c r="AJ9" s="15"/>
      <c r="AK9" s="21"/>
      <c r="AL9" s="15"/>
      <c r="AM9" s="21"/>
      <c r="AN9" s="15"/>
      <c r="AO9" s="21"/>
      <c r="AP9" s="15"/>
      <c r="AQ9" s="21"/>
      <c r="AR9" s="15"/>
      <c r="AS9" s="21"/>
      <c r="AT9" s="15"/>
      <c r="AU9" s="21"/>
      <c r="AV9" s="15"/>
      <c r="AW9" s="21"/>
      <c r="AX9" s="15"/>
      <c r="AY9" s="21"/>
      <c r="AZ9" s="15"/>
      <c r="BA9" s="21"/>
      <c r="BB9" s="15"/>
      <c r="BC9" s="12"/>
      <c r="BD9" s="12"/>
    </row>
    <row r="10" spans="1:58" ht="18.75" customHeight="1">
      <c r="A10" s="12"/>
      <c r="B10" s="13"/>
      <c r="C10" s="14"/>
      <c r="D10" s="15" t="s">
        <v>37</v>
      </c>
      <c r="E10" s="15"/>
      <c r="F10" s="15"/>
      <c r="G10" s="15"/>
      <c r="H10" s="20"/>
      <c r="I10" s="20"/>
      <c r="J10" s="17"/>
      <c r="K10" s="21" t="s">
        <v>25</v>
      </c>
      <c r="L10" s="15"/>
      <c r="M10" s="21"/>
      <c r="N10" s="15"/>
      <c r="O10" s="21"/>
      <c r="P10" s="15"/>
      <c r="Q10" s="21"/>
      <c r="R10" s="15"/>
      <c r="S10" s="21"/>
      <c r="T10" s="15"/>
      <c r="U10" s="21"/>
      <c r="V10" s="15"/>
      <c r="W10" s="21"/>
      <c r="X10" s="15"/>
      <c r="Y10" s="21"/>
      <c r="Z10" s="15"/>
      <c r="AA10" s="21"/>
      <c r="AB10" s="15"/>
      <c r="AC10" s="21"/>
      <c r="AD10" s="15"/>
      <c r="AE10" s="21"/>
      <c r="AF10" s="15"/>
      <c r="AG10" s="21"/>
      <c r="AH10" s="15"/>
      <c r="AI10" s="21"/>
      <c r="AJ10" s="15"/>
      <c r="AK10" s="21"/>
      <c r="AL10" s="15"/>
      <c r="AM10" s="21"/>
      <c r="AN10" s="15"/>
      <c r="AO10" s="21"/>
      <c r="AP10" s="15"/>
      <c r="AQ10" s="21"/>
      <c r="AR10" s="15"/>
      <c r="AS10" s="21"/>
      <c r="AT10" s="15"/>
      <c r="AU10" s="21"/>
      <c r="AV10" s="15"/>
      <c r="AW10" s="21"/>
      <c r="AX10" s="15"/>
      <c r="AY10" s="21"/>
      <c r="AZ10" s="15"/>
      <c r="BA10" s="21"/>
      <c r="BB10" s="15"/>
      <c r="BC10" s="12"/>
      <c r="BD10" s="12"/>
    </row>
    <row r="11" spans="1:58" ht="18.75" customHeight="1">
      <c r="A11" s="12"/>
      <c r="B11" s="13">
        <v>3</v>
      </c>
      <c r="C11" s="14"/>
      <c r="D11" s="15" t="s">
        <v>38</v>
      </c>
      <c r="E11" s="15" t="s">
        <v>39</v>
      </c>
      <c r="F11" s="15" t="s">
        <v>40</v>
      </c>
      <c r="G11" s="15" t="s">
        <v>41</v>
      </c>
      <c r="H11" s="20"/>
      <c r="I11" s="20"/>
      <c r="J11" s="17"/>
      <c r="K11" s="21" t="s">
        <v>25</v>
      </c>
      <c r="L11" s="15"/>
      <c r="M11" s="18"/>
      <c r="N11" s="15"/>
      <c r="O11" s="21"/>
      <c r="P11" s="15"/>
      <c r="Q11" s="21"/>
      <c r="R11" s="15"/>
      <c r="S11" s="19"/>
      <c r="T11" s="15"/>
      <c r="U11" s="19"/>
      <c r="V11" s="15"/>
      <c r="W11" s="21"/>
      <c r="X11" s="15"/>
      <c r="Y11" s="19"/>
      <c r="Z11" s="15"/>
      <c r="AA11" s="19"/>
      <c r="AB11" s="15"/>
      <c r="AC11" s="21"/>
      <c r="AD11" s="15"/>
      <c r="AE11" s="19"/>
      <c r="AF11" s="15"/>
      <c r="AG11" s="18"/>
      <c r="AH11" s="15"/>
      <c r="AI11" s="19"/>
      <c r="AJ11" s="15"/>
      <c r="AK11" s="19"/>
      <c r="AL11" s="15"/>
      <c r="AM11" s="19"/>
      <c r="AN11" s="15"/>
      <c r="AO11" s="19"/>
      <c r="AP11" s="15"/>
      <c r="AQ11" s="19"/>
      <c r="AR11" s="15"/>
      <c r="AS11" s="19"/>
      <c r="AT11" s="15"/>
      <c r="AU11" s="19"/>
      <c r="AV11" s="15"/>
      <c r="AW11" s="19"/>
      <c r="AX11" s="15"/>
      <c r="AY11" s="19"/>
      <c r="AZ11" s="15"/>
      <c r="BA11" s="19"/>
      <c r="BB11" s="15">
        <v>200</v>
      </c>
      <c r="BC11" s="12"/>
      <c r="BD11" s="12"/>
    </row>
    <row r="12" spans="1:58" ht="18.75" customHeight="1">
      <c r="A12" s="12"/>
      <c r="B12" s="13"/>
      <c r="C12" s="14"/>
      <c r="D12" s="15" t="s">
        <v>43</v>
      </c>
      <c r="E12" s="15" t="s">
        <v>44</v>
      </c>
      <c r="F12" s="15" t="s">
        <v>22</v>
      </c>
      <c r="G12" s="15" t="s">
        <v>22</v>
      </c>
      <c r="H12" s="15"/>
      <c r="I12" s="20" t="s">
        <v>23</v>
      </c>
      <c r="J12" s="17"/>
      <c r="K12" s="21" t="s">
        <v>25</v>
      </c>
      <c r="L12" s="23"/>
      <c r="M12" s="21"/>
      <c r="N12" s="24"/>
      <c r="O12" s="21"/>
      <c r="P12" s="15"/>
      <c r="Q12" s="21"/>
      <c r="R12" s="15"/>
      <c r="S12" s="21"/>
      <c r="T12" s="15"/>
      <c r="U12" s="21"/>
      <c r="V12" s="15"/>
      <c r="W12" s="21"/>
      <c r="X12" s="15"/>
      <c r="Y12" s="21"/>
      <c r="Z12" s="15"/>
      <c r="AA12" s="21"/>
      <c r="AB12" s="15"/>
      <c r="AC12" s="21"/>
      <c r="AD12" s="15"/>
      <c r="AE12" s="21"/>
      <c r="AF12" s="15"/>
      <c r="AG12" s="21"/>
      <c r="AH12" s="15"/>
      <c r="AI12" s="21"/>
      <c r="AJ12" s="15"/>
      <c r="AK12" s="21"/>
      <c r="AL12" s="15"/>
      <c r="AM12" s="21"/>
      <c r="AN12" s="15"/>
      <c r="AO12" s="21"/>
      <c r="AP12" s="15"/>
      <c r="AQ12" s="21"/>
      <c r="AR12" s="15"/>
      <c r="AS12" s="21"/>
      <c r="AT12" s="15"/>
      <c r="AU12" s="21"/>
      <c r="AV12" s="15"/>
      <c r="AW12" s="21"/>
      <c r="AX12" s="15"/>
      <c r="AY12" s="21"/>
      <c r="AZ12" s="15"/>
      <c r="BA12" s="21"/>
      <c r="BB12" s="15"/>
      <c r="BC12" s="12"/>
      <c r="BD12" s="12"/>
    </row>
    <row r="13" spans="1:58" ht="18.75" customHeight="1">
      <c r="A13" s="12"/>
      <c r="B13" s="13"/>
      <c r="C13" s="14"/>
      <c r="D13" s="15" t="s">
        <v>45</v>
      </c>
      <c r="E13" s="15"/>
      <c r="F13" s="15"/>
      <c r="G13" s="15"/>
      <c r="H13" s="15"/>
      <c r="I13" s="20"/>
      <c r="J13" s="17"/>
      <c r="K13" s="21" t="s">
        <v>25</v>
      </c>
      <c r="L13" s="15"/>
      <c r="M13" s="21"/>
      <c r="N13" s="15"/>
      <c r="O13" s="21"/>
      <c r="P13" s="15"/>
      <c r="Q13" s="21"/>
      <c r="R13" s="15"/>
      <c r="S13" s="21"/>
      <c r="T13" s="15"/>
      <c r="U13" s="21"/>
      <c r="V13" s="15"/>
      <c r="W13" s="21"/>
      <c r="X13" s="15"/>
      <c r="Y13" s="21"/>
      <c r="Z13" s="15"/>
      <c r="AA13" s="21"/>
      <c r="AB13" s="15"/>
      <c r="AC13" s="21"/>
      <c r="AD13" s="15"/>
      <c r="AE13" s="21"/>
      <c r="AF13" s="15"/>
      <c r="AG13" s="21"/>
      <c r="AH13" s="15"/>
      <c r="AI13" s="21"/>
      <c r="AJ13" s="15"/>
      <c r="AK13" s="21"/>
      <c r="AL13" s="15"/>
      <c r="AM13" s="21"/>
      <c r="AN13" s="15"/>
      <c r="AO13" s="21"/>
      <c r="AP13" s="15"/>
      <c r="AQ13" s="21"/>
      <c r="AR13" s="15"/>
      <c r="AS13" s="21"/>
      <c r="AT13" s="15"/>
      <c r="AU13" s="21"/>
      <c r="AV13" s="15"/>
      <c r="AW13" s="21"/>
      <c r="AX13" s="15"/>
      <c r="AY13" s="21"/>
      <c r="AZ13" s="15"/>
      <c r="BA13" s="21"/>
      <c r="BB13" s="15"/>
      <c r="BC13" s="12"/>
      <c r="BD13" s="12"/>
    </row>
    <row r="14" spans="1:58" ht="18.75" customHeight="1">
      <c r="A14" s="12"/>
      <c r="B14" s="13">
        <v>4</v>
      </c>
      <c r="C14" s="14"/>
      <c r="D14" s="15" t="s">
        <v>46</v>
      </c>
      <c r="E14" s="15"/>
      <c r="F14" s="15"/>
      <c r="G14" s="15"/>
      <c r="H14" s="20"/>
      <c r="I14" s="20"/>
      <c r="J14" s="17"/>
      <c r="K14" s="18" t="s">
        <v>42</v>
      </c>
      <c r="L14" s="15">
        <v>200</v>
      </c>
      <c r="M14" s="18" t="s">
        <v>42</v>
      </c>
      <c r="N14" s="15"/>
      <c r="O14" s="21"/>
      <c r="P14" s="25"/>
      <c r="Q14" s="21"/>
      <c r="R14" s="15"/>
      <c r="S14" s="21"/>
      <c r="T14" s="15"/>
      <c r="U14" s="19"/>
      <c r="V14" s="15"/>
      <c r="W14" s="19"/>
      <c r="X14" s="15"/>
      <c r="Y14" s="19"/>
      <c r="Z14" s="15"/>
      <c r="AA14" s="19"/>
      <c r="AB14" s="15"/>
      <c r="AC14" s="19"/>
      <c r="AD14" s="15"/>
      <c r="AE14" s="19"/>
      <c r="AF14" s="15"/>
      <c r="AG14" s="18"/>
      <c r="AH14" s="15"/>
      <c r="AI14" s="21"/>
      <c r="AJ14" s="15"/>
      <c r="AK14" s="19"/>
      <c r="AL14" s="15"/>
      <c r="AM14" s="19"/>
      <c r="AN14" s="15"/>
      <c r="AO14" s="19"/>
      <c r="AP14" s="15"/>
      <c r="AQ14" s="19"/>
      <c r="AR14" s="15"/>
      <c r="AS14" s="21"/>
      <c r="AT14" s="15"/>
      <c r="AU14" s="19"/>
      <c r="AV14" s="15"/>
      <c r="AW14" s="21"/>
      <c r="AX14" s="15"/>
      <c r="AY14" s="21"/>
      <c r="AZ14" s="15"/>
      <c r="BA14" s="19"/>
      <c r="BB14" s="15">
        <v>800</v>
      </c>
      <c r="BC14" s="12"/>
      <c r="BD14" s="12"/>
    </row>
    <row r="15" spans="1:58" ht="18.75" customHeight="1">
      <c r="A15" s="12"/>
      <c r="B15" s="13"/>
      <c r="C15" s="14"/>
      <c r="D15" s="15" t="s">
        <v>47</v>
      </c>
      <c r="E15" s="15"/>
      <c r="F15" s="15"/>
      <c r="G15" s="15"/>
      <c r="H15" s="20"/>
      <c r="I15" s="20"/>
      <c r="J15" s="17"/>
      <c r="K15" s="21" t="s">
        <v>25</v>
      </c>
      <c r="L15" s="15"/>
      <c r="M15" s="21"/>
      <c r="N15" s="15"/>
      <c r="O15" s="21"/>
      <c r="P15" s="15"/>
      <c r="Q15" s="21"/>
      <c r="R15" s="15"/>
      <c r="S15" s="21"/>
      <c r="T15" s="15"/>
      <c r="U15" s="21"/>
      <c r="V15" s="15"/>
      <c r="W15" s="21"/>
      <c r="X15" s="15"/>
      <c r="Y15" s="21"/>
      <c r="Z15" s="15"/>
      <c r="AA15" s="21"/>
      <c r="AB15" s="15"/>
      <c r="AC15" s="21"/>
      <c r="AD15" s="15"/>
      <c r="AE15" s="21"/>
      <c r="AF15" s="15"/>
      <c r="AG15" s="21"/>
      <c r="AH15" s="15"/>
      <c r="AI15" s="21"/>
      <c r="AJ15" s="15"/>
      <c r="AK15" s="21"/>
      <c r="AL15" s="15"/>
      <c r="AM15" s="21"/>
      <c r="AN15" s="15"/>
      <c r="AO15" s="21"/>
      <c r="AP15" s="15"/>
      <c r="AQ15" s="21"/>
      <c r="AR15" s="15"/>
      <c r="AS15" s="21"/>
      <c r="AT15" s="15"/>
      <c r="AU15" s="21"/>
      <c r="AV15" s="15"/>
      <c r="AW15" s="21"/>
      <c r="AX15" s="15"/>
      <c r="AY15" s="21"/>
      <c r="AZ15" s="15"/>
      <c r="BA15" s="21"/>
      <c r="BB15" s="15"/>
      <c r="BC15" s="12"/>
      <c r="BD15" s="12"/>
    </row>
    <row r="16" spans="1:58" ht="18.75" customHeight="1">
      <c r="A16" s="12"/>
      <c r="B16" s="13"/>
      <c r="C16" s="14"/>
      <c r="D16" s="15" t="s">
        <v>48</v>
      </c>
      <c r="E16" s="15"/>
      <c r="F16" s="15"/>
      <c r="G16" s="15"/>
      <c r="H16" s="20"/>
      <c r="I16" s="20"/>
      <c r="J16" s="17"/>
      <c r="K16" s="21" t="s">
        <v>25</v>
      </c>
      <c r="L16" s="15"/>
      <c r="M16" s="21"/>
      <c r="N16" s="15"/>
      <c r="O16" s="21"/>
      <c r="P16" s="15"/>
      <c r="Q16" s="21"/>
      <c r="R16" s="15"/>
      <c r="S16" s="21"/>
      <c r="T16" s="15"/>
      <c r="U16" s="21"/>
      <c r="V16" s="15"/>
      <c r="W16" s="21"/>
      <c r="X16" s="15"/>
      <c r="Y16" s="21"/>
      <c r="Z16" s="15"/>
      <c r="AA16" s="21"/>
      <c r="AB16" s="15"/>
      <c r="AC16" s="21"/>
      <c r="AD16" s="15"/>
      <c r="AE16" s="21"/>
      <c r="AF16" s="15"/>
      <c r="AG16" s="21"/>
      <c r="AH16" s="15"/>
      <c r="AI16" s="21"/>
      <c r="AJ16" s="15"/>
      <c r="AK16" s="21"/>
      <c r="AL16" s="15"/>
      <c r="AM16" s="21"/>
      <c r="AN16" s="15"/>
      <c r="AO16" s="21"/>
      <c r="AP16" s="15"/>
      <c r="AQ16" s="21"/>
      <c r="AR16" s="15"/>
      <c r="AS16" s="21"/>
      <c r="AT16" s="15"/>
      <c r="AU16" s="21"/>
      <c r="AV16" s="15"/>
      <c r="AW16" s="21"/>
      <c r="AX16" s="15"/>
      <c r="AY16" s="21"/>
      <c r="AZ16" s="15"/>
      <c r="BA16" s="21"/>
      <c r="BB16" s="15"/>
      <c r="BC16" s="12"/>
      <c r="BD16" s="12"/>
    </row>
    <row r="17" spans="1:56" ht="18.75" customHeight="1">
      <c r="A17" s="12"/>
      <c r="B17" s="26">
        <v>5</v>
      </c>
      <c r="C17" s="27"/>
      <c r="D17" s="28" t="s">
        <v>49</v>
      </c>
      <c r="E17" s="15"/>
      <c r="F17" s="15"/>
      <c r="G17" s="15"/>
      <c r="H17" s="15"/>
      <c r="I17" s="15"/>
      <c r="J17" s="15"/>
      <c r="K17" s="21" t="s">
        <v>25</v>
      </c>
      <c r="L17" s="15"/>
      <c r="M17" s="21"/>
      <c r="N17" s="15"/>
      <c r="O17" s="21"/>
      <c r="P17" s="15"/>
      <c r="Q17" s="21"/>
      <c r="R17" s="15"/>
      <c r="S17" s="19"/>
      <c r="T17" s="15"/>
      <c r="U17" s="21"/>
      <c r="V17" s="15"/>
      <c r="W17" s="19"/>
      <c r="X17" s="15"/>
      <c r="Y17" s="21"/>
      <c r="Z17" s="15"/>
      <c r="AA17" s="19"/>
      <c r="AB17" s="15"/>
      <c r="AC17" s="21"/>
      <c r="AD17" s="15"/>
      <c r="AE17" s="19"/>
      <c r="AF17" s="15"/>
      <c r="AG17" s="18"/>
      <c r="AH17" s="15"/>
      <c r="AI17" s="19"/>
      <c r="AJ17" s="15"/>
      <c r="AK17" s="19"/>
      <c r="AL17" s="15"/>
      <c r="AM17" s="21"/>
      <c r="AN17" s="15"/>
      <c r="AO17" s="19"/>
      <c r="AP17" s="15"/>
      <c r="AQ17" s="19"/>
      <c r="AR17" s="15"/>
      <c r="AS17" s="29"/>
      <c r="AT17" s="15"/>
      <c r="AU17" s="19"/>
      <c r="AV17" s="15"/>
      <c r="AW17" s="19"/>
      <c r="AX17" s="15"/>
      <c r="AY17" s="19"/>
      <c r="AZ17" s="15"/>
      <c r="BA17" s="19"/>
      <c r="BB17" s="15">
        <v>600</v>
      </c>
      <c r="BC17" s="12"/>
      <c r="BD17" s="12"/>
    </row>
    <row r="18" spans="1:56" ht="18.75" customHeight="1">
      <c r="A18" s="12"/>
      <c r="B18" s="26"/>
      <c r="C18" s="27"/>
      <c r="D18" s="28" t="s">
        <v>50</v>
      </c>
      <c r="E18" s="15"/>
      <c r="F18" s="15"/>
      <c r="G18" s="15"/>
      <c r="H18" s="15"/>
      <c r="I18" s="15"/>
      <c r="J18" s="15"/>
      <c r="K18" s="21" t="s">
        <v>25</v>
      </c>
      <c r="L18" s="15"/>
      <c r="M18" s="21"/>
      <c r="N18" s="15"/>
      <c r="O18" s="21"/>
      <c r="P18" s="15"/>
      <c r="Q18" s="21"/>
      <c r="R18" s="15"/>
      <c r="S18" s="21"/>
      <c r="T18" s="15"/>
      <c r="U18" s="21"/>
      <c r="V18" s="15"/>
      <c r="W18" s="21"/>
      <c r="X18" s="15"/>
      <c r="Y18" s="21"/>
      <c r="Z18" s="15"/>
      <c r="AA18" s="21"/>
      <c r="AB18" s="15"/>
      <c r="AC18" s="21"/>
      <c r="AD18" s="15"/>
      <c r="AE18" s="21"/>
      <c r="AF18" s="15"/>
      <c r="AG18" s="21"/>
      <c r="AH18" s="15"/>
      <c r="AI18" s="21"/>
      <c r="AJ18" s="15"/>
      <c r="AK18" s="21"/>
      <c r="AL18" s="15"/>
      <c r="AM18" s="21"/>
      <c r="AN18" s="15"/>
      <c r="AO18" s="21"/>
      <c r="AP18" s="15"/>
      <c r="AQ18" s="21"/>
      <c r="AR18" s="15"/>
      <c r="AS18" s="21"/>
      <c r="AT18" s="15"/>
      <c r="AU18" s="21"/>
      <c r="AV18" s="15"/>
      <c r="AW18" s="21"/>
      <c r="AX18" s="15"/>
      <c r="AY18" s="21"/>
      <c r="AZ18" s="15"/>
      <c r="BA18" s="21"/>
      <c r="BB18" s="15"/>
      <c r="BC18" s="12"/>
      <c r="BD18" s="12"/>
    </row>
    <row r="19" spans="1:56" ht="18.75" customHeight="1">
      <c r="A19" s="12"/>
      <c r="B19" s="26"/>
      <c r="C19" s="27"/>
      <c r="D19" s="28" t="s">
        <v>51</v>
      </c>
      <c r="E19" s="15"/>
      <c r="F19" s="15"/>
      <c r="G19" s="15"/>
      <c r="H19" s="15"/>
      <c r="I19" s="15"/>
      <c r="J19" s="15"/>
      <c r="K19" s="21" t="s">
        <v>25</v>
      </c>
      <c r="L19" s="15"/>
      <c r="M19" s="21"/>
      <c r="N19" s="15"/>
      <c r="O19" s="21"/>
      <c r="P19" s="15"/>
      <c r="Q19" s="21"/>
      <c r="R19" s="15"/>
      <c r="S19" s="21"/>
      <c r="T19" s="15"/>
      <c r="U19" s="21"/>
      <c r="V19" s="15"/>
      <c r="W19" s="21"/>
      <c r="X19" s="15"/>
      <c r="Y19" s="21"/>
      <c r="Z19" s="15"/>
      <c r="AA19" s="21"/>
      <c r="AB19" s="15"/>
      <c r="AC19" s="21"/>
      <c r="AD19" s="15"/>
      <c r="AE19" s="21"/>
      <c r="AF19" s="15"/>
      <c r="AG19" s="21"/>
      <c r="AH19" s="15"/>
      <c r="AI19" s="21"/>
      <c r="AJ19" s="15"/>
      <c r="AK19" s="21"/>
      <c r="AL19" s="15"/>
      <c r="AM19" s="21"/>
      <c r="AN19" s="15"/>
      <c r="AO19" s="21"/>
      <c r="AP19" s="15"/>
      <c r="AQ19" s="21"/>
      <c r="AR19" s="15"/>
      <c r="AS19" s="21"/>
      <c r="AT19" s="15"/>
      <c r="AU19" s="21"/>
      <c r="AV19" s="15"/>
      <c r="AW19" s="21"/>
      <c r="AX19" s="15"/>
      <c r="AY19" s="21"/>
      <c r="AZ19" s="15"/>
      <c r="BA19" s="21"/>
      <c r="BB19" s="15"/>
      <c r="BC19" s="12"/>
      <c r="BD19" s="12"/>
    </row>
    <row r="20" spans="1:56" ht="18.75" customHeight="1">
      <c r="A20" s="12"/>
      <c r="B20" s="26"/>
      <c r="C20" s="27"/>
      <c r="D20" s="28" t="s">
        <v>52</v>
      </c>
      <c r="E20" s="15"/>
      <c r="F20" s="15"/>
      <c r="G20" s="15"/>
      <c r="H20" s="15"/>
      <c r="I20" s="15"/>
      <c r="J20" s="15"/>
      <c r="K20" s="21" t="s">
        <v>25</v>
      </c>
      <c r="L20" s="15"/>
      <c r="M20" s="21"/>
      <c r="N20" s="15"/>
      <c r="O20" s="21"/>
      <c r="P20" s="15"/>
      <c r="Q20" s="21"/>
      <c r="R20" s="15"/>
      <c r="S20" s="21"/>
      <c r="T20" s="15"/>
      <c r="U20" s="21"/>
      <c r="V20" s="15"/>
      <c r="W20" s="21"/>
      <c r="X20" s="15"/>
      <c r="Y20" s="21"/>
      <c r="Z20" s="15"/>
      <c r="AA20" s="21"/>
      <c r="AB20" s="15"/>
      <c r="AC20" s="21"/>
      <c r="AD20" s="15"/>
      <c r="AE20" s="21"/>
      <c r="AF20" s="15"/>
      <c r="AG20" s="21"/>
      <c r="AH20" s="15"/>
      <c r="AI20" s="21"/>
      <c r="AJ20" s="15"/>
      <c r="AK20" s="21"/>
      <c r="AL20" s="15"/>
      <c r="AM20" s="21"/>
      <c r="AN20" s="15"/>
      <c r="AO20" s="21"/>
      <c r="AP20" s="15"/>
      <c r="AQ20" s="21"/>
      <c r="AR20" s="15"/>
      <c r="AS20" s="21"/>
      <c r="AT20" s="15"/>
      <c r="AU20" s="21"/>
      <c r="AV20" s="15"/>
      <c r="AW20" s="21"/>
      <c r="AX20" s="15"/>
      <c r="AY20" s="21"/>
      <c r="AZ20" s="15"/>
      <c r="BA20" s="21"/>
      <c r="BB20" s="15"/>
      <c r="BC20" s="12"/>
      <c r="BD20" s="12"/>
    </row>
    <row r="21" spans="1:56" ht="18.75" customHeight="1">
      <c r="A21" s="12"/>
      <c r="B21" s="26">
        <v>6</v>
      </c>
      <c r="C21" s="27"/>
      <c r="D21" s="28" t="s">
        <v>53</v>
      </c>
      <c r="E21" s="15"/>
      <c r="F21" s="15"/>
      <c r="G21" s="15"/>
      <c r="H21" s="15"/>
      <c r="I21" s="15"/>
      <c r="J21" s="15"/>
      <c r="K21" s="21" t="s">
        <v>42</v>
      </c>
      <c r="L21" s="15">
        <v>466</v>
      </c>
      <c r="M21" s="18"/>
      <c r="N21" s="15"/>
      <c r="O21" s="21"/>
      <c r="P21" s="15"/>
      <c r="Q21" s="21"/>
      <c r="R21" s="15"/>
      <c r="S21" s="19"/>
      <c r="T21" s="15"/>
      <c r="U21" s="19"/>
      <c r="V21" s="15"/>
      <c r="W21" s="19"/>
      <c r="X21" s="15"/>
      <c r="Y21" s="19"/>
      <c r="Z21" s="15"/>
      <c r="AA21" s="19"/>
      <c r="AB21" s="15"/>
      <c r="AC21" s="19"/>
      <c r="AD21" s="15"/>
      <c r="AE21" s="19"/>
      <c r="AF21" s="15"/>
      <c r="AG21" s="18"/>
      <c r="AH21" s="15"/>
      <c r="AI21" s="19"/>
      <c r="AJ21" s="15"/>
      <c r="AK21" s="19"/>
      <c r="AL21" s="15"/>
      <c r="AM21" s="19"/>
      <c r="AN21" s="15"/>
      <c r="AO21" s="21"/>
      <c r="AP21" s="15"/>
      <c r="AQ21" s="19"/>
      <c r="AR21" s="15"/>
      <c r="AS21" s="21"/>
      <c r="AT21" s="15"/>
      <c r="AU21" s="29"/>
      <c r="AV21" s="15"/>
      <c r="AW21" s="29"/>
      <c r="AX21" s="15"/>
      <c r="AY21" s="21"/>
      <c r="AZ21" s="15"/>
      <c r="BA21" s="21"/>
      <c r="BB21" s="15"/>
      <c r="BC21" s="12"/>
      <c r="BD21" s="12"/>
    </row>
    <row r="22" spans="1:56" ht="18.75" customHeight="1">
      <c r="A22" s="12"/>
      <c r="B22" s="26"/>
      <c r="C22" s="27"/>
      <c r="D22" s="28" t="s">
        <v>54</v>
      </c>
      <c r="E22" s="15"/>
      <c r="F22" s="15"/>
      <c r="G22" s="15"/>
      <c r="H22" s="15"/>
      <c r="I22" s="15"/>
      <c r="J22" s="15"/>
      <c r="K22" s="21" t="s">
        <v>25</v>
      </c>
      <c r="L22" s="15"/>
      <c r="M22" s="21"/>
      <c r="N22" s="15"/>
      <c r="O22" s="21"/>
      <c r="P22" s="15"/>
      <c r="Q22" s="21"/>
      <c r="R22" s="15"/>
      <c r="S22" s="21"/>
      <c r="T22" s="15"/>
      <c r="U22" s="21"/>
      <c r="V22" s="15"/>
      <c r="W22" s="21"/>
      <c r="X22" s="15"/>
      <c r="Y22" s="21"/>
      <c r="Z22" s="15"/>
      <c r="AA22" s="21"/>
      <c r="AB22" s="15"/>
      <c r="AC22" s="21"/>
      <c r="AD22" s="15"/>
      <c r="AE22" s="21"/>
      <c r="AF22" s="15"/>
      <c r="AG22" s="21"/>
      <c r="AH22" s="15"/>
      <c r="AI22" s="21"/>
      <c r="AJ22" s="15"/>
      <c r="AK22" s="21"/>
      <c r="AL22" s="15"/>
      <c r="AM22" s="21"/>
      <c r="AN22" s="15"/>
      <c r="AO22" s="21"/>
      <c r="AP22" s="15"/>
      <c r="AQ22" s="21"/>
      <c r="AR22" s="15"/>
      <c r="AS22" s="21"/>
      <c r="AT22" s="15"/>
      <c r="AU22" s="21"/>
      <c r="AV22" s="15"/>
      <c r="AW22" s="21"/>
      <c r="AX22" s="15"/>
      <c r="AY22" s="21"/>
      <c r="AZ22" s="15"/>
      <c r="BA22" s="21"/>
      <c r="BB22" s="15"/>
      <c r="BC22" s="12"/>
      <c r="BD22" s="12"/>
    </row>
    <row r="23" spans="1:56" ht="18.75" customHeight="1">
      <c r="A23" s="12"/>
      <c r="B23" s="26"/>
      <c r="C23" s="27"/>
      <c r="D23" s="28" t="s">
        <v>55</v>
      </c>
      <c r="E23" s="15"/>
      <c r="F23" s="15"/>
      <c r="G23" s="15"/>
      <c r="H23" s="15"/>
      <c r="I23" s="15"/>
      <c r="J23" s="15"/>
      <c r="K23" s="21" t="s">
        <v>25</v>
      </c>
      <c r="L23" s="15"/>
      <c r="M23" s="21"/>
      <c r="N23" s="15"/>
      <c r="O23" s="21"/>
      <c r="P23" s="15"/>
      <c r="Q23" s="21"/>
      <c r="R23" s="15"/>
      <c r="S23" s="21"/>
      <c r="T23" s="15"/>
      <c r="U23" s="21"/>
      <c r="V23" s="15"/>
      <c r="W23" s="21"/>
      <c r="X23" s="15"/>
      <c r="Y23" s="21"/>
      <c r="Z23" s="15"/>
      <c r="AA23" s="21"/>
      <c r="AB23" s="15"/>
      <c r="AC23" s="21"/>
      <c r="AD23" s="15"/>
      <c r="AE23" s="21"/>
      <c r="AF23" s="15"/>
      <c r="AG23" s="21"/>
      <c r="AH23" s="15"/>
      <c r="AI23" s="21"/>
      <c r="AJ23" s="15"/>
      <c r="AK23" s="21"/>
      <c r="AL23" s="15"/>
      <c r="AM23" s="21"/>
      <c r="AN23" s="15"/>
      <c r="AO23" s="21"/>
      <c r="AP23" s="15"/>
      <c r="AQ23" s="21"/>
      <c r="AR23" s="15"/>
      <c r="AS23" s="21"/>
      <c r="AT23" s="15"/>
      <c r="AU23" s="21"/>
      <c r="AV23" s="15"/>
      <c r="AW23" s="21"/>
      <c r="AX23" s="15"/>
      <c r="AY23" s="21"/>
      <c r="AZ23" s="15"/>
      <c r="BA23" s="21"/>
      <c r="BB23" s="15"/>
      <c r="BC23" s="12"/>
      <c r="BD23" s="12"/>
    </row>
    <row r="24" spans="1:56" ht="18.75" customHeight="1">
      <c r="A24" s="12"/>
      <c r="B24" s="26">
        <v>7</v>
      </c>
      <c r="C24" s="27"/>
      <c r="D24" s="28" t="s">
        <v>56</v>
      </c>
      <c r="E24" s="15"/>
      <c r="F24" s="15"/>
      <c r="G24" s="15"/>
      <c r="H24" s="15"/>
      <c r="I24" s="15"/>
      <c r="J24" s="15"/>
      <c r="K24" s="21" t="s">
        <v>25</v>
      </c>
      <c r="L24" s="15"/>
      <c r="M24" s="21"/>
      <c r="N24" s="15"/>
      <c r="O24" s="21"/>
      <c r="P24" s="25"/>
      <c r="Q24" s="21"/>
      <c r="R24" s="25"/>
      <c r="S24" s="21"/>
      <c r="T24" s="15"/>
      <c r="U24" s="21"/>
      <c r="V24" s="15"/>
      <c r="W24" s="21"/>
      <c r="X24" s="15"/>
      <c r="Y24" s="21"/>
      <c r="Z24" s="15"/>
      <c r="AA24" s="21"/>
      <c r="AB24" s="15"/>
      <c r="AC24" s="21"/>
      <c r="AD24" s="15"/>
      <c r="AE24" s="21"/>
      <c r="AF24" s="15"/>
      <c r="AG24" s="21"/>
      <c r="AH24" s="25"/>
      <c r="AI24" s="21"/>
      <c r="AJ24" s="25"/>
      <c r="AK24" s="21"/>
      <c r="AL24" s="25"/>
      <c r="AM24" s="21"/>
      <c r="AN24" s="25"/>
      <c r="AO24" s="19"/>
      <c r="AP24" s="25"/>
      <c r="AQ24" s="19"/>
      <c r="AR24" s="25"/>
      <c r="AS24" s="21"/>
      <c r="AT24" s="25"/>
      <c r="AU24" s="21"/>
      <c r="AV24" s="25"/>
      <c r="AW24" s="29"/>
      <c r="AX24" s="25"/>
      <c r="AY24" s="29"/>
      <c r="AZ24" s="25"/>
      <c r="BA24" s="21"/>
      <c r="BB24" s="25"/>
      <c r="BC24" s="12"/>
      <c r="BD24" s="12"/>
    </row>
    <row r="25" spans="1:56" ht="18.75" customHeight="1">
      <c r="A25" s="12"/>
      <c r="B25" s="26"/>
      <c r="C25" s="27"/>
      <c r="D25" s="28" t="s">
        <v>57</v>
      </c>
      <c r="E25" s="15"/>
      <c r="F25" s="15"/>
      <c r="G25" s="15"/>
      <c r="H25" s="15"/>
      <c r="I25" s="15"/>
      <c r="J25" s="15"/>
      <c r="K25" s="21" t="s">
        <v>25</v>
      </c>
      <c r="L25" s="15"/>
      <c r="M25" s="21"/>
      <c r="N25" s="15"/>
      <c r="O25" s="21"/>
      <c r="P25" s="15"/>
      <c r="Q25" s="21"/>
      <c r="R25" s="15"/>
      <c r="S25" s="21"/>
      <c r="T25" s="15"/>
      <c r="U25" s="21"/>
      <c r="V25" s="15"/>
      <c r="W25" s="21"/>
      <c r="X25" s="15"/>
      <c r="Y25" s="21"/>
      <c r="Z25" s="15"/>
      <c r="AA25" s="21"/>
      <c r="AB25" s="15"/>
      <c r="AC25" s="21"/>
      <c r="AD25" s="15"/>
      <c r="AE25" s="21"/>
      <c r="AF25" s="15"/>
      <c r="AG25" s="21"/>
      <c r="AH25" s="15"/>
      <c r="AI25" s="21"/>
      <c r="AJ25" s="15"/>
      <c r="AK25" s="21"/>
      <c r="AL25" s="15"/>
      <c r="AM25" s="21"/>
      <c r="AN25" s="15"/>
      <c r="AO25" s="21"/>
      <c r="AP25" s="15"/>
      <c r="AQ25" s="21"/>
      <c r="AR25" s="15"/>
      <c r="AS25" s="21"/>
      <c r="AT25" s="15"/>
      <c r="AU25" s="21"/>
      <c r="AV25" s="15"/>
      <c r="AW25" s="21"/>
      <c r="AX25" s="15"/>
      <c r="AY25" s="21"/>
      <c r="AZ25" s="15"/>
      <c r="BA25" s="21"/>
      <c r="BB25" s="15"/>
      <c r="BC25" s="12"/>
      <c r="BD25" s="12"/>
    </row>
    <row r="26" spans="1:56" ht="18.75" customHeight="1">
      <c r="A26" s="12"/>
      <c r="B26" s="26"/>
      <c r="C26" s="27"/>
      <c r="D26" s="28" t="s">
        <v>58</v>
      </c>
      <c r="E26" s="15"/>
      <c r="F26" s="15"/>
      <c r="G26" s="15"/>
      <c r="H26" s="15"/>
      <c r="I26" s="15"/>
      <c r="J26" s="15"/>
      <c r="K26" s="21" t="s">
        <v>25</v>
      </c>
      <c r="L26" s="15"/>
      <c r="M26" s="21"/>
      <c r="N26" s="15"/>
      <c r="O26" s="21"/>
      <c r="P26" s="15"/>
      <c r="Q26" s="21"/>
      <c r="R26" s="15"/>
      <c r="S26" s="21"/>
      <c r="T26" s="15"/>
      <c r="U26" s="21"/>
      <c r="V26" s="15"/>
      <c r="W26" s="21"/>
      <c r="X26" s="15"/>
      <c r="Y26" s="21"/>
      <c r="Z26" s="15"/>
      <c r="AA26" s="21"/>
      <c r="AB26" s="15"/>
      <c r="AC26" s="21"/>
      <c r="AD26" s="15"/>
      <c r="AE26" s="21"/>
      <c r="AF26" s="15"/>
      <c r="AG26" s="21"/>
      <c r="AH26" s="15"/>
      <c r="AI26" s="21"/>
      <c r="AJ26" s="15"/>
      <c r="AK26" s="21"/>
      <c r="AL26" s="15"/>
      <c r="AM26" s="21"/>
      <c r="AN26" s="15"/>
      <c r="AO26" s="21"/>
      <c r="AP26" s="15"/>
      <c r="AQ26" s="21"/>
      <c r="AR26" s="15"/>
      <c r="AS26" s="21"/>
      <c r="AT26" s="15"/>
      <c r="AU26" s="21"/>
      <c r="AV26" s="15"/>
      <c r="AW26" s="21"/>
      <c r="AX26" s="15"/>
      <c r="AY26" s="21"/>
      <c r="AZ26" s="15"/>
      <c r="BA26" s="21"/>
      <c r="BB26" s="15"/>
      <c r="BC26" s="12"/>
      <c r="BD26" s="12"/>
    </row>
    <row r="27" spans="1:56" ht="18" customHeight="1">
      <c r="A27" s="12"/>
      <c r="B27" s="26"/>
      <c r="C27" s="27"/>
      <c r="D27" s="28" t="s">
        <v>59</v>
      </c>
      <c r="E27" s="15"/>
      <c r="F27" s="15"/>
      <c r="G27" s="15"/>
      <c r="H27" s="15"/>
      <c r="I27" s="15"/>
      <c r="J27" s="15"/>
      <c r="K27" s="21" t="s">
        <v>25</v>
      </c>
      <c r="L27" s="15"/>
      <c r="M27" s="21"/>
      <c r="N27" s="15"/>
      <c r="O27" s="21"/>
      <c r="P27" s="15"/>
      <c r="Q27" s="21"/>
      <c r="R27" s="15"/>
      <c r="S27" s="21"/>
      <c r="T27" s="15"/>
      <c r="U27" s="21"/>
      <c r="V27" s="15"/>
      <c r="W27" s="21"/>
      <c r="X27" s="15"/>
      <c r="Y27" s="21"/>
      <c r="Z27" s="15"/>
      <c r="AA27" s="21"/>
      <c r="AB27" s="15"/>
      <c r="AC27" s="21"/>
      <c r="AD27" s="15"/>
      <c r="AE27" s="21"/>
      <c r="AF27" s="15"/>
      <c r="AG27" s="21"/>
      <c r="AH27" s="15"/>
      <c r="AI27" s="21"/>
      <c r="AJ27" s="15"/>
      <c r="AK27" s="21"/>
      <c r="AL27" s="15"/>
      <c r="AM27" s="21"/>
      <c r="AN27" s="15"/>
      <c r="AO27" s="21"/>
      <c r="AP27" s="15"/>
      <c r="AQ27" s="21"/>
      <c r="AR27" s="15"/>
      <c r="AS27" s="21"/>
      <c r="AT27" s="15"/>
      <c r="AU27" s="21"/>
      <c r="AV27" s="15"/>
      <c r="AW27" s="21"/>
      <c r="AX27" s="15"/>
      <c r="AY27" s="21"/>
      <c r="AZ27" s="15"/>
      <c r="BA27" s="21"/>
      <c r="BB27" s="15"/>
      <c r="BC27" s="12"/>
      <c r="BD27" s="12"/>
    </row>
    <row r="28" spans="1:56" ht="18.75" customHeight="1">
      <c r="A28" s="12"/>
      <c r="B28" s="26">
        <v>8</v>
      </c>
      <c r="C28" s="27"/>
      <c r="D28" s="28" t="s">
        <v>60</v>
      </c>
      <c r="E28" s="15"/>
      <c r="F28" s="15"/>
      <c r="G28" s="15"/>
      <c r="H28" s="15"/>
      <c r="I28" s="15"/>
      <c r="J28" s="15"/>
      <c r="K28" s="21" t="s">
        <v>25</v>
      </c>
      <c r="L28" s="15"/>
      <c r="M28" s="21"/>
      <c r="N28" s="15"/>
      <c r="O28" s="21"/>
      <c r="P28" s="15"/>
      <c r="Q28" s="21"/>
      <c r="R28" s="15"/>
      <c r="S28" s="21"/>
      <c r="T28" s="15"/>
      <c r="U28" s="19"/>
      <c r="V28" s="15"/>
      <c r="W28" s="19"/>
      <c r="X28" s="15"/>
      <c r="Y28" s="19"/>
      <c r="Z28" s="15"/>
      <c r="AA28" s="19"/>
      <c r="AB28" s="15"/>
      <c r="AC28" s="19"/>
      <c r="AD28" s="15"/>
      <c r="AE28" s="19"/>
      <c r="AF28" s="15"/>
      <c r="AG28" s="18"/>
      <c r="AH28" s="15"/>
      <c r="AI28" s="21"/>
      <c r="AJ28" s="15"/>
      <c r="AK28" s="21"/>
      <c r="AL28" s="15"/>
      <c r="AM28" s="19"/>
      <c r="AN28" s="15"/>
      <c r="AO28" s="21"/>
      <c r="AP28" s="15"/>
      <c r="AQ28" s="21"/>
      <c r="AR28" s="15"/>
      <c r="AS28" s="21"/>
      <c r="AT28" s="15"/>
      <c r="AU28" s="21"/>
      <c r="AV28" s="15"/>
      <c r="AW28" s="21"/>
      <c r="AX28" s="15"/>
      <c r="AY28" s="21"/>
      <c r="AZ28" s="15"/>
      <c r="BA28" s="21"/>
      <c r="BB28" s="15"/>
      <c r="BC28" s="12"/>
      <c r="BD28" s="12"/>
    </row>
    <row r="29" spans="1:56" ht="18.75" customHeight="1">
      <c r="A29" s="12"/>
      <c r="B29" s="26"/>
      <c r="C29" s="27"/>
      <c r="D29" s="28" t="s">
        <v>61</v>
      </c>
      <c r="E29" s="15"/>
      <c r="F29" s="15"/>
      <c r="G29" s="15"/>
      <c r="H29" s="15"/>
      <c r="I29" s="15"/>
      <c r="J29" s="15"/>
      <c r="K29" s="21" t="s">
        <v>25</v>
      </c>
      <c r="L29" s="15"/>
      <c r="M29" s="21"/>
      <c r="N29" s="15"/>
      <c r="O29" s="21"/>
      <c r="P29" s="15"/>
      <c r="Q29" s="21"/>
      <c r="R29" s="15"/>
      <c r="S29" s="21"/>
      <c r="T29" s="15"/>
      <c r="U29" s="21"/>
      <c r="V29" s="15"/>
      <c r="W29" s="21"/>
      <c r="X29" s="15"/>
      <c r="Y29" s="21"/>
      <c r="Z29" s="15"/>
      <c r="AA29" s="21"/>
      <c r="AB29" s="15"/>
      <c r="AC29" s="21"/>
      <c r="AD29" s="15"/>
      <c r="AE29" s="21"/>
      <c r="AF29" s="15"/>
      <c r="AG29" s="21"/>
      <c r="AH29" s="15"/>
      <c r="AI29" s="21"/>
      <c r="AJ29" s="15"/>
      <c r="AK29" s="21"/>
      <c r="AL29" s="15"/>
      <c r="AM29" s="21"/>
      <c r="AN29" s="15"/>
      <c r="AO29" s="21"/>
      <c r="AP29" s="15"/>
      <c r="AQ29" s="21"/>
      <c r="AR29" s="15"/>
      <c r="AS29" s="21"/>
      <c r="AT29" s="15"/>
      <c r="AU29" s="21"/>
      <c r="AV29" s="15"/>
      <c r="AW29" s="21"/>
      <c r="AX29" s="15"/>
      <c r="AY29" s="21"/>
      <c r="AZ29" s="15"/>
      <c r="BA29" s="21"/>
      <c r="BB29" s="15"/>
      <c r="BC29" s="12"/>
      <c r="BD29" s="12"/>
    </row>
    <row r="30" spans="1:56" ht="18.75" customHeight="1">
      <c r="A30" s="12"/>
      <c r="B30" s="26"/>
      <c r="C30" s="27"/>
      <c r="D30" s="28" t="s">
        <v>62</v>
      </c>
      <c r="E30" s="15"/>
      <c r="F30" s="15"/>
      <c r="G30" s="15"/>
      <c r="H30" s="15"/>
      <c r="I30" s="15"/>
      <c r="J30" s="15"/>
      <c r="K30" s="21" t="s">
        <v>25</v>
      </c>
      <c r="L30" s="15"/>
      <c r="M30" s="21"/>
      <c r="N30" s="15"/>
      <c r="O30" s="21"/>
      <c r="P30" s="15"/>
      <c r="Q30" s="21"/>
      <c r="R30" s="15"/>
      <c r="S30" s="21"/>
      <c r="T30" s="15"/>
      <c r="U30" s="21"/>
      <c r="V30" s="15"/>
      <c r="W30" s="21"/>
      <c r="X30" s="15"/>
      <c r="Y30" s="21"/>
      <c r="Z30" s="15"/>
      <c r="AA30" s="21"/>
      <c r="AB30" s="15"/>
      <c r="AC30" s="21"/>
      <c r="AD30" s="15"/>
      <c r="AE30" s="21"/>
      <c r="AF30" s="15"/>
      <c r="AG30" s="21"/>
      <c r="AH30" s="15"/>
      <c r="AI30" s="21"/>
      <c r="AJ30" s="15"/>
      <c r="AK30" s="21"/>
      <c r="AL30" s="15"/>
      <c r="AM30" s="21"/>
      <c r="AN30" s="15"/>
      <c r="AO30" s="21"/>
      <c r="AP30" s="15"/>
      <c r="AQ30" s="21"/>
      <c r="AR30" s="15"/>
      <c r="AS30" s="21"/>
      <c r="AT30" s="15"/>
      <c r="AU30" s="21"/>
      <c r="AV30" s="15"/>
      <c r="AW30" s="21"/>
      <c r="AX30" s="15"/>
      <c r="AY30" s="21"/>
      <c r="AZ30" s="15"/>
      <c r="BA30" s="21"/>
      <c r="BB30" s="15"/>
      <c r="BC30" s="12"/>
      <c r="BD30" s="12"/>
    </row>
    <row r="31" spans="1:56" ht="18.75" customHeight="1">
      <c r="A31" s="12"/>
      <c r="B31" s="26"/>
      <c r="C31" s="27"/>
      <c r="D31" s="28" t="s">
        <v>63</v>
      </c>
      <c r="E31" s="15"/>
      <c r="F31" s="15"/>
      <c r="G31" s="15"/>
      <c r="H31" s="15"/>
      <c r="I31" s="15"/>
      <c r="J31" s="15"/>
      <c r="K31" s="21" t="s">
        <v>25</v>
      </c>
      <c r="L31" s="15"/>
      <c r="M31" s="21"/>
      <c r="N31" s="15"/>
      <c r="O31" s="21"/>
      <c r="P31" s="15"/>
      <c r="Q31" s="21"/>
      <c r="R31" s="15"/>
      <c r="S31" s="21"/>
      <c r="T31" s="15"/>
      <c r="U31" s="21"/>
      <c r="V31" s="15"/>
      <c r="W31" s="21"/>
      <c r="X31" s="15"/>
      <c r="Y31" s="21"/>
      <c r="Z31" s="15"/>
      <c r="AA31" s="21"/>
      <c r="AB31" s="15"/>
      <c r="AC31" s="21"/>
      <c r="AD31" s="15"/>
      <c r="AE31" s="21"/>
      <c r="AF31" s="15"/>
      <c r="AG31" s="21"/>
      <c r="AH31" s="15"/>
      <c r="AI31" s="21"/>
      <c r="AJ31" s="15"/>
      <c r="AK31" s="21"/>
      <c r="AL31" s="15"/>
      <c r="AM31" s="21"/>
      <c r="AN31" s="15"/>
      <c r="AO31" s="21"/>
      <c r="AP31" s="15"/>
      <c r="AQ31" s="21"/>
      <c r="AR31" s="15"/>
      <c r="AS31" s="21"/>
      <c r="AT31" s="15"/>
      <c r="AU31" s="21"/>
      <c r="AV31" s="15"/>
      <c r="AW31" s="21"/>
      <c r="AX31" s="15"/>
      <c r="AY31" s="21"/>
      <c r="AZ31" s="15"/>
      <c r="BA31" s="21"/>
      <c r="BB31" s="15"/>
      <c r="BC31" s="12"/>
      <c r="BD31" s="12"/>
    </row>
    <row r="32" spans="1:56" ht="18.75" customHeight="1">
      <c r="A32" s="12"/>
      <c r="B32" s="26">
        <v>9</v>
      </c>
      <c r="C32" s="27"/>
      <c r="D32" s="28" t="s">
        <v>64</v>
      </c>
      <c r="E32" s="15"/>
      <c r="F32" s="15"/>
      <c r="G32" s="15"/>
      <c r="H32" s="15"/>
      <c r="I32" s="15"/>
      <c r="J32" s="15"/>
      <c r="K32" s="21" t="s">
        <v>25</v>
      </c>
      <c r="L32" s="15"/>
      <c r="M32" s="21"/>
      <c r="N32" s="15"/>
      <c r="O32" s="21"/>
      <c r="P32" s="15"/>
      <c r="Q32" s="21"/>
      <c r="R32" s="15"/>
      <c r="S32" s="21"/>
      <c r="T32" s="15"/>
      <c r="U32" s="21"/>
      <c r="V32" s="15"/>
      <c r="W32" s="21"/>
      <c r="X32" s="15"/>
      <c r="Y32" s="21"/>
      <c r="Z32" s="15"/>
      <c r="AA32" s="21"/>
      <c r="AB32" s="15"/>
      <c r="AC32" s="21"/>
      <c r="AD32" s="15"/>
      <c r="AE32" s="21"/>
      <c r="AF32" s="15"/>
      <c r="AG32" s="21"/>
      <c r="AH32" s="15"/>
      <c r="AI32" s="19"/>
      <c r="AJ32" s="15"/>
      <c r="AK32" s="21"/>
      <c r="AL32" s="15"/>
      <c r="AM32" s="21"/>
      <c r="AN32" s="15"/>
      <c r="AO32" s="19"/>
      <c r="AP32" s="15"/>
      <c r="AQ32" s="21"/>
      <c r="AR32" s="15"/>
      <c r="AS32" s="21"/>
      <c r="AT32" s="15"/>
      <c r="AU32" s="21"/>
      <c r="AV32" s="15"/>
      <c r="AW32" s="29"/>
      <c r="AX32" s="15"/>
      <c r="AY32" s="21"/>
      <c r="AZ32" s="15"/>
      <c r="BA32" s="21"/>
      <c r="BB32" s="15"/>
      <c r="BC32" s="12"/>
      <c r="BD32" s="12"/>
    </row>
    <row r="33" spans="1:56" ht="18.75" customHeight="1">
      <c r="A33" s="12"/>
      <c r="B33" s="26">
        <v>10</v>
      </c>
      <c r="C33" s="27"/>
      <c r="D33" s="28" t="s">
        <v>65</v>
      </c>
      <c r="E33" s="15"/>
      <c r="F33" s="15"/>
      <c r="G33" s="15"/>
      <c r="H33" s="15"/>
      <c r="I33" s="15"/>
      <c r="J33" s="15"/>
      <c r="K33" s="21" t="s">
        <v>25</v>
      </c>
      <c r="L33" s="15"/>
      <c r="M33" s="21"/>
      <c r="N33" s="15"/>
      <c r="O33" s="21"/>
      <c r="P33" s="15"/>
      <c r="Q33" s="21"/>
      <c r="R33" s="15"/>
      <c r="S33" s="21"/>
      <c r="T33" s="15"/>
      <c r="U33" s="21"/>
      <c r="V33" s="15"/>
      <c r="W33" s="21"/>
      <c r="X33" s="15"/>
      <c r="Y33" s="21"/>
      <c r="Z33" s="15"/>
      <c r="AA33" s="21"/>
      <c r="AB33" s="15"/>
      <c r="AC33" s="21"/>
      <c r="AD33" s="15"/>
      <c r="AE33" s="21"/>
      <c r="AF33" s="15"/>
      <c r="AG33" s="21"/>
      <c r="AH33" s="15"/>
      <c r="AI33" s="21"/>
      <c r="AJ33" s="15"/>
      <c r="AK33" s="21"/>
      <c r="AL33" s="15"/>
      <c r="AM33" s="21"/>
      <c r="AN33" s="15"/>
      <c r="AO33" s="21"/>
      <c r="AP33" s="15"/>
      <c r="AQ33" s="21"/>
      <c r="AR33" s="15"/>
      <c r="AS33" s="21"/>
      <c r="AT33" s="15"/>
      <c r="AU33" s="21"/>
      <c r="AV33" s="15"/>
      <c r="AW33" s="21"/>
      <c r="AX33" s="15"/>
      <c r="AY33" s="21"/>
      <c r="AZ33" s="15"/>
      <c r="BA33" s="21"/>
      <c r="BB33" s="15"/>
      <c r="BC33" s="12"/>
      <c r="BD33" s="12"/>
    </row>
    <row r="34" spans="1:56" ht="18.75" customHeight="1">
      <c r="A34" s="12"/>
      <c r="B34" s="26"/>
      <c r="C34" s="27"/>
      <c r="D34" s="28" t="s">
        <v>66</v>
      </c>
      <c r="E34" s="15"/>
      <c r="F34" s="15"/>
      <c r="G34" s="15"/>
      <c r="H34" s="15"/>
      <c r="I34" s="15"/>
      <c r="J34" s="15"/>
      <c r="K34" s="21" t="s">
        <v>25</v>
      </c>
      <c r="L34" s="15"/>
      <c r="M34" s="21"/>
      <c r="N34" s="15"/>
      <c r="O34" s="21"/>
      <c r="P34" s="15"/>
      <c r="Q34" s="21"/>
      <c r="R34" s="15"/>
      <c r="S34" s="21"/>
      <c r="T34" s="15"/>
      <c r="U34" s="21"/>
      <c r="V34" s="15"/>
      <c r="W34" s="21"/>
      <c r="X34" s="22"/>
      <c r="Y34" s="21"/>
      <c r="Z34" s="22"/>
      <c r="AA34" s="21"/>
      <c r="AB34" s="22"/>
      <c r="AC34" s="21"/>
      <c r="AD34" s="22"/>
      <c r="AE34" s="21"/>
      <c r="AF34" s="22"/>
      <c r="AG34" s="21"/>
      <c r="AH34" s="15"/>
      <c r="AI34" s="21"/>
      <c r="AJ34" s="15"/>
      <c r="AK34" s="21"/>
      <c r="AL34" s="15"/>
      <c r="AM34" s="21"/>
      <c r="AN34" s="15"/>
      <c r="AO34" s="21"/>
      <c r="AP34" s="15"/>
      <c r="AQ34" s="21"/>
      <c r="AR34" s="15"/>
      <c r="AS34" s="21"/>
      <c r="AT34" s="15"/>
      <c r="AU34" s="21"/>
      <c r="AV34" s="15"/>
      <c r="AW34" s="21"/>
      <c r="AX34" s="15"/>
      <c r="AY34" s="21"/>
      <c r="AZ34" s="15"/>
      <c r="BA34" s="21"/>
      <c r="BB34" s="15"/>
      <c r="BC34" s="12"/>
      <c r="BD34" s="12"/>
    </row>
    <row r="35" spans="1:56" ht="18.75" customHeight="1">
      <c r="A35" s="12"/>
      <c r="B35" s="26"/>
      <c r="C35" s="27"/>
      <c r="D35" s="28" t="s">
        <v>67</v>
      </c>
      <c r="E35" s="15"/>
      <c r="F35" s="15"/>
      <c r="G35" s="15"/>
      <c r="H35" s="15"/>
      <c r="I35" s="15"/>
      <c r="J35" s="15"/>
      <c r="K35" s="21" t="s">
        <v>25</v>
      </c>
      <c r="L35" s="15"/>
      <c r="M35" s="21"/>
      <c r="N35" s="15"/>
      <c r="O35" s="21"/>
      <c r="P35" s="15"/>
      <c r="Q35" s="21"/>
      <c r="R35" s="15"/>
      <c r="S35" s="21"/>
      <c r="T35" s="15"/>
      <c r="U35" s="21"/>
      <c r="V35" s="15"/>
      <c r="W35" s="21"/>
      <c r="X35" s="22"/>
      <c r="Y35" s="21"/>
      <c r="Z35" s="22"/>
      <c r="AA35" s="21"/>
      <c r="AB35" s="22"/>
      <c r="AC35" s="21"/>
      <c r="AD35" s="22"/>
      <c r="AE35" s="21"/>
      <c r="AF35" s="22"/>
      <c r="AG35" s="21"/>
      <c r="AH35" s="15"/>
      <c r="AI35" s="21"/>
      <c r="AJ35" s="15"/>
      <c r="AK35" s="21"/>
      <c r="AL35" s="15"/>
      <c r="AM35" s="21"/>
      <c r="AN35" s="15"/>
      <c r="AO35" s="21"/>
      <c r="AP35" s="15"/>
      <c r="AQ35" s="21"/>
      <c r="AR35" s="15"/>
      <c r="AS35" s="21"/>
      <c r="AT35" s="15"/>
      <c r="AU35" s="21"/>
      <c r="AV35" s="15"/>
      <c r="AW35" s="21"/>
      <c r="AX35" s="15"/>
      <c r="AY35" s="21"/>
      <c r="AZ35" s="15"/>
      <c r="BA35" s="21"/>
      <c r="BB35" s="15"/>
      <c r="BC35" s="12"/>
      <c r="BD35" s="12"/>
    </row>
    <row r="36" spans="1:56" ht="18.75" customHeight="1">
      <c r="A36" s="12"/>
      <c r="B36" s="26"/>
      <c r="C36" s="27"/>
      <c r="D36" s="28" t="s">
        <v>68</v>
      </c>
      <c r="E36" s="15"/>
      <c r="F36" s="15"/>
      <c r="G36" s="15"/>
      <c r="H36" s="15"/>
      <c r="I36" s="15"/>
      <c r="J36" s="15"/>
      <c r="K36" s="21" t="s">
        <v>25</v>
      </c>
      <c r="L36" s="15"/>
      <c r="M36" s="21"/>
      <c r="N36" s="15"/>
      <c r="O36" s="21"/>
      <c r="P36" s="15"/>
      <c r="Q36" s="21"/>
      <c r="R36" s="15"/>
      <c r="S36" s="21"/>
      <c r="T36" s="15"/>
      <c r="U36" s="21"/>
      <c r="V36" s="15"/>
      <c r="W36" s="21"/>
      <c r="X36" s="22"/>
      <c r="Y36" s="21"/>
      <c r="Z36" s="22"/>
      <c r="AA36" s="21"/>
      <c r="AB36" s="22"/>
      <c r="AC36" s="21"/>
      <c r="AD36" s="22"/>
      <c r="AE36" s="21"/>
      <c r="AF36" s="22"/>
      <c r="AG36" s="21"/>
      <c r="AH36" s="15"/>
      <c r="AI36" s="21"/>
      <c r="AJ36" s="15"/>
      <c r="AK36" s="21"/>
      <c r="AL36" s="15"/>
      <c r="AM36" s="21"/>
      <c r="AN36" s="15"/>
      <c r="AO36" s="21"/>
      <c r="AP36" s="15"/>
      <c r="AQ36" s="21"/>
      <c r="AR36" s="15"/>
      <c r="AS36" s="21"/>
      <c r="AT36" s="15"/>
      <c r="AU36" s="21"/>
      <c r="AV36" s="15"/>
      <c r="AW36" s="21"/>
      <c r="AX36" s="15"/>
      <c r="AY36" s="21"/>
      <c r="AZ36" s="15"/>
      <c r="BA36" s="21"/>
      <c r="BB36" s="15"/>
      <c r="BC36" s="12"/>
      <c r="BD36" s="12"/>
    </row>
    <row r="37" spans="1:56" ht="18.75" customHeight="1">
      <c r="A37" s="12"/>
      <c r="B37" s="26">
        <v>11</v>
      </c>
      <c r="C37" s="27"/>
      <c r="D37" s="28" t="s">
        <v>69</v>
      </c>
      <c r="E37" s="15"/>
      <c r="F37" s="15"/>
      <c r="G37" s="15"/>
      <c r="H37" s="15"/>
      <c r="I37" s="15"/>
      <c r="J37" s="15"/>
      <c r="K37" s="21" t="s">
        <v>25</v>
      </c>
      <c r="L37" s="15"/>
      <c r="M37" s="21"/>
      <c r="N37" s="15"/>
      <c r="O37" s="21"/>
      <c r="P37" s="15"/>
      <c r="Q37" s="21"/>
      <c r="R37" s="15"/>
      <c r="S37" s="21"/>
      <c r="T37" s="15"/>
      <c r="U37" s="21"/>
      <c r="V37" s="15"/>
      <c r="W37" s="21"/>
      <c r="X37" s="22"/>
      <c r="Y37" s="21"/>
      <c r="Z37" s="22"/>
      <c r="AA37" s="21"/>
      <c r="AB37" s="22"/>
      <c r="AC37" s="21"/>
      <c r="AD37" s="22"/>
      <c r="AE37" s="21"/>
      <c r="AF37" s="22"/>
      <c r="AG37" s="21"/>
      <c r="AH37" s="15"/>
      <c r="AI37" s="21"/>
      <c r="AJ37" s="15"/>
      <c r="AK37" s="21"/>
      <c r="AL37" s="15"/>
      <c r="AM37" s="21"/>
      <c r="AN37" s="15"/>
      <c r="AO37" s="21"/>
      <c r="AP37" s="15"/>
      <c r="AQ37" s="21"/>
      <c r="AR37" s="15"/>
      <c r="AS37" s="21"/>
      <c r="AT37" s="15"/>
      <c r="AU37" s="21"/>
      <c r="AV37" s="15"/>
      <c r="AW37" s="21"/>
      <c r="AX37" s="15"/>
      <c r="AY37" s="21"/>
      <c r="AZ37" s="15"/>
      <c r="BA37" s="21"/>
      <c r="BB37" s="15"/>
      <c r="BC37" s="12"/>
      <c r="BD37" s="12"/>
    </row>
    <row r="38" spans="1:56" ht="18.75" customHeight="1">
      <c r="A38" s="12"/>
      <c r="B38" s="26"/>
      <c r="C38" s="27"/>
      <c r="D38" s="28" t="s">
        <v>70</v>
      </c>
      <c r="E38" s="15"/>
      <c r="F38" s="15"/>
      <c r="G38" s="15"/>
      <c r="H38" s="15"/>
      <c r="I38" s="15"/>
      <c r="J38" s="15"/>
      <c r="K38" s="21" t="s">
        <v>25</v>
      </c>
      <c r="L38" s="15"/>
      <c r="M38" s="21"/>
      <c r="N38" s="15"/>
      <c r="O38" s="21"/>
      <c r="P38" s="15"/>
      <c r="Q38" s="21"/>
      <c r="R38" s="15"/>
      <c r="S38" s="21"/>
      <c r="T38" s="15"/>
      <c r="U38" s="21"/>
      <c r="V38" s="15"/>
      <c r="W38" s="21"/>
      <c r="X38" s="22"/>
      <c r="Y38" s="21"/>
      <c r="Z38" s="22"/>
      <c r="AA38" s="21"/>
      <c r="AB38" s="22"/>
      <c r="AC38" s="21"/>
      <c r="AD38" s="22"/>
      <c r="AE38" s="21"/>
      <c r="AF38" s="22"/>
      <c r="AG38" s="21"/>
      <c r="AH38" s="15"/>
      <c r="AI38" s="21"/>
      <c r="AJ38" s="15"/>
      <c r="AK38" s="21"/>
      <c r="AL38" s="15"/>
      <c r="AM38" s="21"/>
      <c r="AN38" s="15"/>
      <c r="AO38" s="21"/>
      <c r="AP38" s="15"/>
      <c r="AQ38" s="21"/>
      <c r="AR38" s="15"/>
      <c r="AS38" s="21"/>
      <c r="AT38" s="15"/>
      <c r="AU38" s="21"/>
      <c r="AV38" s="15"/>
      <c r="AW38" s="21"/>
      <c r="AX38" s="15"/>
      <c r="AY38" s="21"/>
      <c r="AZ38" s="15"/>
      <c r="BA38" s="21"/>
      <c r="BB38" s="15"/>
      <c r="BC38" s="12"/>
      <c r="BD38" s="12"/>
    </row>
    <row r="39" spans="1:56" ht="18.75" customHeight="1">
      <c r="A39" s="12"/>
      <c r="B39" s="26"/>
      <c r="C39" s="27"/>
      <c r="D39" s="28" t="s">
        <v>71</v>
      </c>
      <c r="E39" s="15"/>
      <c r="F39" s="15"/>
      <c r="G39" s="15"/>
      <c r="H39" s="15"/>
      <c r="I39" s="15"/>
      <c r="J39" s="15"/>
      <c r="K39" s="21" t="s">
        <v>25</v>
      </c>
      <c r="L39" s="15"/>
      <c r="M39" s="21"/>
      <c r="N39" s="15"/>
      <c r="O39" s="21"/>
      <c r="P39" s="15"/>
      <c r="Q39" s="21"/>
      <c r="R39" s="15"/>
      <c r="S39" s="21"/>
      <c r="T39" s="15"/>
      <c r="U39" s="21"/>
      <c r="V39" s="15"/>
      <c r="W39" s="21"/>
      <c r="X39" s="22"/>
      <c r="Y39" s="21"/>
      <c r="Z39" s="22"/>
      <c r="AA39" s="21"/>
      <c r="AB39" s="22"/>
      <c r="AC39" s="21"/>
      <c r="AD39" s="22"/>
      <c r="AE39" s="21"/>
      <c r="AF39" s="22"/>
      <c r="AG39" s="21"/>
      <c r="AH39" s="15"/>
      <c r="AI39" s="21"/>
      <c r="AJ39" s="15"/>
      <c r="AK39" s="21"/>
      <c r="AL39" s="15"/>
      <c r="AM39" s="21"/>
      <c r="AN39" s="15"/>
      <c r="AO39" s="21"/>
      <c r="AP39" s="15"/>
      <c r="AQ39" s="21"/>
      <c r="AR39" s="15"/>
      <c r="AS39" s="21"/>
      <c r="AT39" s="15"/>
      <c r="AU39" s="21"/>
      <c r="AV39" s="15"/>
      <c r="AW39" s="21"/>
      <c r="AX39" s="15"/>
      <c r="AY39" s="21"/>
      <c r="AZ39" s="15"/>
      <c r="BA39" s="21"/>
      <c r="BB39" s="15"/>
      <c r="BC39" s="12"/>
      <c r="BD39" s="12"/>
    </row>
    <row r="40" spans="1:56" ht="18.75" customHeight="1">
      <c r="A40" s="12"/>
      <c r="B40" s="26">
        <v>12</v>
      </c>
      <c r="C40" s="27"/>
      <c r="D40" s="28" t="s">
        <v>72</v>
      </c>
      <c r="E40" s="15"/>
      <c r="F40" s="15"/>
      <c r="G40" s="15"/>
      <c r="H40" s="15"/>
      <c r="I40" s="15"/>
      <c r="J40" s="15"/>
      <c r="K40" s="21" t="s">
        <v>25</v>
      </c>
      <c r="L40" s="15"/>
      <c r="M40" s="21"/>
      <c r="N40" s="15"/>
      <c r="O40" s="21"/>
      <c r="P40" s="15"/>
      <c r="Q40" s="21"/>
      <c r="R40" s="15"/>
      <c r="S40" s="21"/>
      <c r="T40" s="15"/>
      <c r="U40" s="21"/>
      <c r="V40" s="15"/>
      <c r="W40" s="21"/>
      <c r="X40" s="22"/>
      <c r="Y40" s="21"/>
      <c r="Z40" s="22"/>
      <c r="AA40" s="21"/>
      <c r="AB40" s="22"/>
      <c r="AC40" s="21"/>
      <c r="AD40" s="22"/>
      <c r="AE40" s="21"/>
      <c r="AF40" s="22"/>
      <c r="AG40" s="21"/>
      <c r="AH40" s="15"/>
      <c r="AI40" s="21"/>
      <c r="AJ40" s="15"/>
      <c r="AK40" s="21"/>
      <c r="AL40" s="15"/>
      <c r="AM40" s="21"/>
      <c r="AN40" s="15"/>
      <c r="AO40" s="21"/>
      <c r="AP40" s="15"/>
      <c r="AQ40" s="21"/>
      <c r="AR40" s="15"/>
      <c r="AS40" s="21"/>
      <c r="AT40" s="15"/>
      <c r="AU40" s="21"/>
      <c r="AV40" s="15"/>
      <c r="AW40" s="21"/>
      <c r="AX40" s="15"/>
      <c r="AY40" s="21"/>
      <c r="AZ40" s="15"/>
      <c r="BA40" s="21"/>
      <c r="BB40" s="30"/>
      <c r="BC40" s="12"/>
      <c r="BD40" s="12"/>
    </row>
    <row r="41" spans="1:56" ht="18.75" customHeight="1">
      <c r="A41" s="12"/>
      <c r="B41" s="26"/>
      <c r="C41" s="27"/>
      <c r="D41" s="28" t="s">
        <v>73</v>
      </c>
      <c r="E41" s="15"/>
      <c r="F41" s="15"/>
      <c r="G41" s="15"/>
      <c r="H41" s="15"/>
      <c r="I41" s="15"/>
      <c r="J41" s="15"/>
      <c r="K41" s="21" t="s">
        <v>25</v>
      </c>
      <c r="L41" s="15"/>
      <c r="M41" s="21"/>
      <c r="N41" s="15"/>
      <c r="O41" s="21"/>
      <c r="P41" s="15"/>
      <c r="Q41" s="21"/>
      <c r="R41" s="15"/>
      <c r="S41" s="21"/>
      <c r="T41" s="15"/>
      <c r="U41" s="21"/>
      <c r="V41" s="15"/>
      <c r="W41" s="21"/>
      <c r="X41" s="22"/>
      <c r="Y41" s="21"/>
      <c r="Z41" s="22"/>
      <c r="AA41" s="21"/>
      <c r="AB41" s="22"/>
      <c r="AC41" s="21"/>
      <c r="AD41" s="22"/>
      <c r="AE41" s="21"/>
      <c r="AF41" s="22"/>
      <c r="AG41" s="21"/>
      <c r="AH41" s="15"/>
      <c r="AI41" s="21"/>
      <c r="AJ41" s="15"/>
      <c r="AK41" s="21"/>
      <c r="AL41" s="15"/>
      <c r="AM41" s="21"/>
      <c r="AN41" s="15"/>
      <c r="AO41" s="21"/>
      <c r="AP41" s="15"/>
      <c r="AQ41" s="21"/>
      <c r="AR41" s="15"/>
      <c r="AS41" s="21"/>
      <c r="AT41" s="15"/>
      <c r="AU41" s="21"/>
      <c r="AV41" s="15"/>
      <c r="AW41" s="21"/>
      <c r="AX41" s="15"/>
      <c r="AY41" s="21"/>
      <c r="AZ41" s="15"/>
      <c r="BA41" s="21"/>
      <c r="BB41" s="30"/>
      <c r="BC41" s="12"/>
      <c r="BD41" s="12"/>
    </row>
    <row r="42" spans="1:56" ht="18.75" customHeight="1">
      <c r="A42" s="12"/>
      <c r="B42" s="26"/>
      <c r="C42" s="27"/>
      <c r="D42" s="28" t="s">
        <v>74</v>
      </c>
      <c r="E42" s="15"/>
      <c r="F42" s="15"/>
      <c r="G42" s="15"/>
      <c r="H42" s="15"/>
      <c r="I42" s="15"/>
      <c r="J42" s="15"/>
      <c r="K42" s="21" t="s">
        <v>25</v>
      </c>
      <c r="L42" s="15"/>
      <c r="M42" s="21"/>
      <c r="N42" s="15"/>
      <c r="O42" s="21"/>
      <c r="P42" s="15"/>
      <c r="Q42" s="21"/>
      <c r="R42" s="15"/>
      <c r="S42" s="21"/>
      <c r="T42" s="15"/>
      <c r="U42" s="21"/>
      <c r="V42" s="15"/>
      <c r="W42" s="21"/>
      <c r="X42" s="22"/>
      <c r="Y42" s="21"/>
      <c r="Z42" s="22"/>
      <c r="AA42" s="21"/>
      <c r="AB42" s="22"/>
      <c r="AC42" s="21"/>
      <c r="AD42" s="22"/>
      <c r="AE42" s="21"/>
      <c r="AF42" s="22"/>
      <c r="AG42" s="21"/>
      <c r="AH42" s="15"/>
      <c r="AI42" s="21"/>
      <c r="AJ42" s="15"/>
      <c r="AK42" s="21"/>
      <c r="AL42" s="15"/>
      <c r="AM42" s="21"/>
      <c r="AN42" s="15"/>
      <c r="AO42" s="21"/>
      <c r="AP42" s="15"/>
      <c r="AQ42" s="21"/>
      <c r="AR42" s="15"/>
      <c r="AS42" s="21"/>
      <c r="AT42" s="15"/>
      <c r="AU42" s="21"/>
      <c r="AV42" s="15"/>
      <c r="AW42" s="21"/>
      <c r="AX42" s="15"/>
      <c r="AY42" s="21"/>
      <c r="AZ42" s="15"/>
      <c r="BA42" s="21"/>
      <c r="BB42" s="30"/>
      <c r="BC42" s="12"/>
      <c r="BD42" s="12"/>
    </row>
    <row r="43" spans="1:56" ht="18.75" customHeight="1">
      <c r="A43" s="12"/>
      <c r="B43" s="26">
        <v>13</v>
      </c>
      <c r="C43" s="27"/>
      <c r="D43" s="28" t="s">
        <v>75</v>
      </c>
      <c r="E43" s="15"/>
      <c r="F43" s="15"/>
      <c r="G43" s="15"/>
      <c r="H43" s="15"/>
      <c r="I43" s="15"/>
      <c r="J43" s="15"/>
      <c r="K43" s="21" t="s">
        <v>25</v>
      </c>
      <c r="L43" s="15"/>
      <c r="M43" s="21"/>
      <c r="N43" s="15"/>
      <c r="O43" s="21"/>
      <c r="P43" s="15"/>
      <c r="Q43" s="21"/>
      <c r="R43" s="15"/>
      <c r="S43" s="21"/>
      <c r="T43" s="15"/>
      <c r="U43" s="21"/>
      <c r="V43" s="15"/>
      <c r="W43" s="21"/>
      <c r="X43" s="15"/>
      <c r="Y43" s="21"/>
      <c r="Z43" s="15"/>
      <c r="AA43" s="21"/>
      <c r="AB43" s="15"/>
      <c r="AC43" s="21"/>
      <c r="AD43" s="15"/>
      <c r="AE43" s="21"/>
      <c r="AF43" s="15"/>
      <c r="AG43" s="21"/>
      <c r="AH43" s="15"/>
      <c r="AI43" s="21"/>
      <c r="AJ43" s="15"/>
      <c r="AK43" s="21"/>
      <c r="AL43" s="15"/>
      <c r="AM43" s="21"/>
      <c r="AN43" s="15"/>
      <c r="AO43" s="21"/>
      <c r="AP43" s="15"/>
      <c r="AQ43" s="21"/>
      <c r="AR43" s="15"/>
      <c r="AS43" s="21"/>
      <c r="AT43" s="15"/>
      <c r="AU43" s="21"/>
      <c r="AV43" s="15"/>
      <c r="AW43" s="21"/>
      <c r="AX43" s="15"/>
      <c r="AY43" s="21"/>
      <c r="AZ43" s="15"/>
      <c r="BA43" s="21"/>
      <c r="BB43" s="30"/>
      <c r="BC43" s="12"/>
      <c r="BD43" s="12"/>
    </row>
    <row r="44" spans="1:56" ht="18.75" customHeight="1">
      <c r="A44" s="12"/>
      <c r="B44" s="26"/>
      <c r="C44" s="27"/>
      <c r="D44" s="28" t="s">
        <v>76</v>
      </c>
      <c r="E44" s="15"/>
      <c r="F44" s="15"/>
      <c r="G44" s="15"/>
      <c r="H44" s="15"/>
      <c r="I44" s="15"/>
      <c r="J44" s="15"/>
      <c r="K44" s="21" t="s">
        <v>25</v>
      </c>
      <c r="L44" s="15"/>
      <c r="M44" s="21"/>
      <c r="N44" s="15"/>
      <c r="O44" s="21"/>
      <c r="P44" s="15"/>
      <c r="Q44" s="21"/>
      <c r="R44" s="15"/>
      <c r="S44" s="21"/>
      <c r="T44" s="15"/>
      <c r="U44" s="21"/>
      <c r="V44" s="15"/>
      <c r="W44" s="21"/>
      <c r="X44" s="22"/>
      <c r="Y44" s="21"/>
      <c r="Z44" s="22"/>
      <c r="AA44" s="21"/>
      <c r="AB44" s="22"/>
      <c r="AC44" s="21"/>
      <c r="AD44" s="22"/>
      <c r="AE44" s="21"/>
      <c r="AF44" s="22"/>
      <c r="AG44" s="21"/>
      <c r="AH44" s="15"/>
      <c r="AI44" s="21"/>
      <c r="AJ44" s="15"/>
      <c r="AK44" s="21"/>
      <c r="AL44" s="15"/>
      <c r="AM44" s="21"/>
      <c r="AN44" s="15"/>
      <c r="AO44" s="21"/>
      <c r="AP44" s="15"/>
      <c r="AQ44" s="21"/>
      <c r="AR44" s="15"/>
      <c r="AS44" s="21"/>
      <c r="AT44" s="15"/>
      <c r="AU44" s="21"/>
      <c r="AV44" s="15"/>
      <c r="AW44" s="21"/>
      <c r="AX44" s="15"/>
      <c r="AY44" s="21"/>
      <c r="AZ44" s="15"/>
      <c r="BA44" s="21"/>
      <c r="BB44" s="30"/>
      <c r="BC44" s="12"/>
      <c r="BD44" s="12"/>
    </row>
    <row r="45" spans="1:56" ht="18.75" customHeight="1">
      <c r="A45" s="12"/>
      <c r="B45" s="26"/>
      <c r="C45" s="27"/>
      <c r="D45" s="28" t="s">
        <v>77</v>
      </c>
      <c r="E45" s="15"/>
      <c r="F45" s="15"/>
      <c r="G45" s="15"/>
      <c r="H45" s="15"/>
      <c r="I45" s="15"/>
      <c r="J45" s="15"/>
      <c r="K45" s="21" t="s">
        <v>25</v>
      </c>
      <c r="L45" s="15"/>
      <c r="M45" s="21"/>
      <c r="N45" s="15"/>
      <c r="O45" s="21"/>
      <c r="P45" s="15"/>
      <c r="Q45" s="21"/>
      <c r="R45" s="15"/>
      <c r="S45" s="21"/>
      <c r="T45" s="15"/>
      <c r="U45" s="21"/>
      <c r="V45" s="15"/>
      <c r="W45" s="21"/>
      <c r="X45" s="22"/>
      <c r="Y45" s="21"/>
      <c r="Z45" s="22"/>
      <c r="AA45" s="21"/>
      <c r="AB45" s="22"/>
      <c r="AC45" s="21"/>
      <c r="AD45" s="22"/>
      <c r="AE45" s="21"/>
      <c r="AF45" s="22"/>
      <c r="AG45" s="21"/>
      <c r="AH45" s="15"/>
      <c r="AI45" s="21"/>
      <c r="AJ45" s="15"/>
      <c r="AK45" s="21"/>
      <c r="AL45" s="15"/>
      <c r="AM45" s="21"/>
      <c r="AN45" s="15"/>
      <c r="AO45" s="21"/>
      <c r="AP45" s="15"/>
      <c r="AQ45" s="21"/>
      <c r="AR45" s="15"/>
      <c r="AS45" s="21"/>
      <c r="AT45" s="15"/>
      <c r="AU45" s="21"/>
      <c r="AV45" s="15"/>
      <c r="AW45" s="21"/>
      <c r="AX45" s="15"/>
      <c r="AY45" s="21"/>
      <c r="AZ45" s="15"/>
      <c r="BA45" s="21"/>
      <c r="BB45" s="30"/>
      <c r="BC45" s="12"/>
      <c r="BD45" s="12"/>
    </row>
    <row r="46" spans="1:56" ht="18.75" customHeight="1">
      <c r="A46" s="12"/>
      <c r="B46" s="26"/>
      <c r="C46" s="27"/>
      <c r="D46" s="28" t="s">
        <v>78</v>
      </c>
      <c r="E46" s="15"/>
      <c r="F46" s="15"/>
      <c r="G46" s="15"/>
      <c r="H46" s="15"/>
      <c r="I46" s="15"/>
      <c r="J46" s="15"/>
      <c r="K46" s="21" t="s">
        <v>25</v>
      </c>
      <c r="L46" s="15"/>
      <c r="M46" s="21"/>
      <c r="N46" s="15"/>
      <c r="O46" s="21"/>
      <c r="P46" s="15"/>
      <c r="Q46" s="21"/>
      <c r="R46" s="15"/>
      <c r="S46" s="21"/>
      <c r="T46" s="15"/>
      <c r="U46" s="21"/>
      <c r="V46" s="15"/>
      <c r="W46" s="21"/>
      <c r="X46" s="22"/>
      <c r="Y46" s="21"/>
      <c r="Z46" s="22"/>
      <c r="AA46" s="21"/>
      <c r="AB46" s="22"/>
      <c r="AC46" s="21"/>
      <c r="AD46" s="22"/>
      <c r="AE46" s="21"/>
      <c r="AF46" s="22"/>
      <c r="AG46" s="21"/>
      <c r="AH46" s="15"/>
      <c r="AI46" s="21"/>
      <c r="AJ46" s="15"/>
      <c r="AK46" s="21"/>
      <c r="AL46" s="15"/>
      <c r="AM46" s="21"/>
      <c r="AN46" s="15"/>
      <c r="AO46" s="21"/>
      <c r="AP46" s="15"/>
      <c r="AQ46" s="21"/>
      <c r="AR46" s="15"/>
      <c r="AS46" s="21"/>
      <c r="AT46" s="15"/>
      <c r="AU46" s="21"/>
      <c r="AV46" s="15"/>
      <c r="AW46" s="21"/>
      <c r="AX46" s="15"/>
      <c r="AY46" s="21"/>
      <c r="AZ46" s="15"/>
      <c r="BA46" s="21"/>
      <c r="BB46" s="30"/>
      <c r="BC46" s="12"/>
      <c r="BD46" s="12"/>
    </row>
    <row r="47" spans="1:56" ht="18.75" customHeight="1">
      <c r="A47" s="12"/>
      <c r="B47" s="26"/>
      <c r="C47" s="27"/>
      <c r="D47" s="28" t="s">
        <v>79</v>
      </c>
      <c r="E47" s="15"/>
      <c r="F47" s="15"/>
      <c r="G47" s="15"/>
      <c r="H47" s="15"/>
      <c r="I47" s="15"/>
      <c r="J47" s="15"/>
      <c r="K47" s="21" t="s">
        <v>25</v>
      </c>
      <c r="L47" s="15"/>
      <c r="M47" s="21"/>
      <c r="N47" s="15"/>
      <c r="O47" s="21"/>
      <c r="P47" s="15"/>
      <c r="Q47" s="21"/>
      <c r="R47" s="15"/>
      <c r="S47" s="21"/>
      <c r="T47" s="15"/>
      <c r="U47" s="21"/>
      <c r="V47" s="15"/>
      <c r="W47" s="21"/>
      <c r="X47" s="22"/>
      <c r="Y47" s="21"/>
      <c r="Z47" s="22"/>
      <c r="AA47" s="21"/>
      <c r="AB47" s="22"/>
      <c r="AC47" s="21"/>
      <c r="AD47" s="22"/>
      <c r="AE47" s="21"/>
      <c r="AF47" s="22"/>
      <c r="AG47" s="21"/>
      <c r="AH47" s="15"/>
      <c r="AI47" s="21"/>
      <c r="AJ47" s="15"/>
      <c r="AK47" s="21"/>
      <c r="AL47" s="15"/>
      <c r="AM47" s="21"/>
      <c r="AN47" s="15"/>
      <c r="AO47" s="21"/>
      <c r="AP47" s="15"/>
      <c r="AQ47" s="21"/>
      <c r="AR47" s="15"/>
      <c r="AS47" s="21"/>
      <c r="AT47" s="15"/>
      <c r="AU47" s="21"/>
      <c r="AV47" s="15"/>
      <c r="AW47" s="21"/>
      <c r="AX47" s="15"/>
      <c r="AY47" s="21"/>
      <c r="AZ47" s="15"/>
      <c r="BA47" s="21"/>
      <c r="BB47" s="30"/>
      <c r="BC47" s="12"/>
      <c r="BD47" s="12"/>
    </row>
    <row r="48" spans="1:56" ht="18.75" customHeight="1">
      <c r="A48" s="12"/>
      <c r="B48" s="26">
        <v>14</v>
      </c>
      <c r="C48" s="27"/>
      <c r="D48" s="28" t="s">
        <v>80</v>
      </c>
      <c r="E48" s="15"/>
      <c r="F48" s="15"/>
      <c r="G48" s="15"/>
      <c r="H48" s="15"/>
      <c r="I48" s="15"/>
      <c r="J48" s="15"/>
      <c r="K48" s="21" t="s">
        <v>25</v>
      </c>
      <c r="L48" s="15"/>
      <c r="M48" s="21"/>
      <c r="N48" s="15"/>
      <c r="O48" s="21"/>
      <c r="P48" s="15"/>
      <c r="Q48" s="21"/>
      <c r="R48" s="15"/>
      <c r="S48" s="21"/>
      <c r="T48" s="15"/>
      <c r="U48" s="21"/>
      <c r="V48" s="15"/>
      <c r="W48" s="21"/>
      <c r="X48" s="15"/>
      <c r="Y48" s="21"/>
      <c r="Z48" s="15"/>
      <c r="AA48" s="21"/>
      <c r="AB48" s="15"/>
      <c r="AC48" s="21"/>
      <c r="AD48" s="15"/>
      <c r="AE48" s="21"/>
      <c r="AF48" s="15"/>
      <c r="AG48" s="21"/>
      <c r="AH48" s="15"/>
      <c r="AI48" s="21"/>
      <c r="AJ48" s="15"/>
      <c r="AK48" s="21"/>
      <c r="AL48" s="15"/>
      <c r="AM48" s="21"/>
      <c r="AN48" s="15"/>
      <c r="AO48" s="21"/>
      <c r="AP48" s="15"/>
      <c r="AQ48" s="21"/>
      <c r="AR48" s="15"/>
      <c r="AS48" s="21"/>
      <c r="AT48" s="15"/>
      <c r="AU48" s="21"/>
      <c r="AV48" s="15"/>
      <c r="AW48" s="21"/>
      <c r="AX48" s="30"/>
      <c r="AY48" s="21"/>
      <c r="AZ48" s="15"/>
      <c r="BA48" s="21"/>
      <c r="BB48" s="30"/>
      <c r="BC48" s="12"/>
      <c r="BD48" s="12"/>
    </row>
    <row r="49" spans="1:56" ht="18.75" customHeight="1">
      <c r="A49" s="12"/>
      <c r="B49" s="26"/>
      <c r="C49" s="27"/>
      <c r="D49" s="28" t="s">
        <v>81</v>
      </c>
      <c r="E49" s="15"/>
      <c r="F49" s="15"/>
      <c r="G49" s="15"/>
      <c r="H49" s="15"/>
      <c r="I49" s="15"/>
      <c r="J49" s="15"/>
      <c r="K49" s="21" t="s">
        <v>25</v>
      </c>
      <c r="L49" s="15"/>
      <c r="M49" s="21"/>
      <c r="N49" s="15"/>
      <c r="O49" s="21"/>
      <c r="P49" s="15"/>
      <c r="Q49" s="21"/>
      <c r="R49" s="15"/>
      <c r="S49" s="21"/>
      <c r="T49" s="15"/>
      <c r="U49" s="21"/>
      <c r="V49" s="15"/>
      <c r="W49" s="21"/>
      <c r="X49" s="15"/>
      <c r="Y49" s="21"/>
      <c r="Z49" s="15"/>
      <c r="AA49" s="21"/>
      <c r="AB49" s="15"/>
      <c r="AC49" s="21"/>
      <c r="AD49" s="15"/>
      <c r="AE49" s="21"/>
      <c r="AF49" s="15"/>
      <c r="AG49" s="21"/>
      <c r="AH49" s="15"/>
      <c r="AI49" s="21"/>
      <c r="AJ49" s="15"/>
      <c r="AK49" s="21"/>
      <c r="AL49" s="15"/>
      <c r="AM49" s="21"/>
      <c r="AN49" s="15"/>
      <c r="AO49" s="21"/>
      <c r="AP49" s="15"/>
      <c r="AQ49" s="21"/>
      <c r="AR49" s="15"/>
      <c r="AS49" s="21"/>
      <c r="AT49" s="15"/>
      <c r="AU49" s="21"/>
      <c r="AV49" s="15"/>
      <c r="AW49" s="21"/>
      <c r="AX49" s="22"/>
      <c r="AY49" s="21"/>
      <c r="AZ49" s="15"/>
      <c r="BA49" s="21"/>
      <c r="BB49" s="30"/>
      <c r="BC49" s="12"/>
      <c r="BD49" s="12"/>
    </row>
    <row r="50" spans="1:56" ht="18.75" customHeight="1">
      <c r="A50" s="12"/>
      <c r="B50" s="26"/>
      <c r="C50" s="27"/>
      <c r="D50" s="28" t="s">
        <v>82</v>
      </c>
      <c r="E50" s="15"/>
      <c r="F50" s="15"/>
      <c r="G50" s="15"/>
      <c r="H50" s="15"/>
      <c r="I50" s="15"/>
      <c r="J50" s="15"/>
      <c r="K50" s="21" t="s">
        <v>25</v>
      </c>
      <c r="L50" s="15"/>
      <c r="M50" s="21"/>
      <c r="N50" s="15"/>
      <c r="O50" s="21"/>
      <c r="P50" s="15"/>
      <c r="Q50" s="21"/>
      <c r="R50" s="15"/>
      <c r="S50" s="21"/>
      <c r="T50" s="15"/>
      <c r="U50" s="21"/>
      <c r="V50" s="15"/>
      <c r="W50" s="21"/>
      <c r="X50" s="15"/>
      <c r="Y50" s="21"/>
      <c r="Z50" s="15"/>
      <c r="AA50" s="21"/>
      <c r="AB50" s="15"/>
      <c r="AC50" s="21"/>
      <c r="AD50" s="15"/>
      <c r="AE50" s="21"/>
      <c r="AF50" s="15"/>
      <c r="AG50" s="21"/>
      <c r="AH50" s="15"/>
      <c r="AI50" s="21"/>
      <c r="AJ50" s="15"/>
      <c r="AK50" s="21"/>
      <c r="AL50" s="15"/>
      <c r="AM50" s="21"/>
      <c r="AN50" s="15"/>
      <c r="AO50" s="21"/>
      <c r="AP50" s="15"/>
      <c r="AQ50" s="21"/>
      <c r="AR50" s="15"/>
      <c r="AS50" s="21"/>
      <c r="AT50" s="15"/>
      <c r="AU50" s="21"/>
      <c r="AV50" s="15"/>
      <c r="AW50" s="21"/>
      <c r="AX50" s="22"/>
      <c r="AY50" s="21"/>
      <c r="AZ50" s="15"/>
      <c r="BA50" s="21"/>
      <c r="BB50" s="30"/>
      <c r="BC50" s="12"/>
      <c r="BD50" s="12"/>
    </row>
    <row r="51" spans="1:56" ht="18.75" customHeight="1">
      <c r="A51" s="12"/>
      <c r="B51" s="26"/>
      <c r="C51" s="27"/>
      <c r="D51" s="28" t="s">
        <v>83</v>
      </c>
      <c r="E51" s="15"/>
      <c r="F51" s="15"/>
      <c r="G51" s="15"/>
      <c r="H51" s="15"/>
      <c r="I51" s="15"/>
      <c r="J51" s="15"/>
      <c r="K51" s="21" t="s">
        <v>25</v>
      </c>
      <c r="L51" s="15"/>
      <c r="M51" s="21"/>
      <c r="N51" s="15"/>
      <c r="O51" s="21"/>
      <c r="P51" s="15"/>
      <c r="Q51" s="21"/>
      <c r="R51" s="15"/>
      <c r="S51" s="21"/>
      <c r="T51" s="15"/>
      <c r="U51" s="21"/>
      <c r="V51" s="15"/>
      <c r="W51" s="21"/>
      <c r="X51" s="15"/>
      <c r="Y51" s="21"/>
      <c r="Z51" s="15"/>
      <c r="AA51" s="21"/>
      <c r="AB51" s="15"/>
      <c r="AC51" s="21"/>
      <c r="AD51" s="15"/>
      <c r="AE51" s="21"/>
      <c r="AF51" s="15"/>
      <c r="AG51" s="21"/>
      <c r="AH51" s="15"/>
      <c r="AI51" s="21"/>
      <c r="AJ51" s="15"/>
      <c r="AK51" s="21"/>
      <c r="AL51" s="15"/>
      <c r="AM51" s="21"/>
      <c r="AN51" s="15"/>
      <c r="AO51" s="21"/>
      <c r="AP51" s="15"/>
      <c r="AQ51" s="21"/>
      <c r="AR51" s="15"/>
      <c r="AS51" s="21"/>
      <c r="AT51" s="15"/>
      <c r="AU51" s="21"/>
      <c r="AV51" s="15"/>
      <c r="AW51" s="21"/>
      <c r="AX51" s="22"/>
      <c r="AY51" s="21"/>
      <c r="AZ51" s="15"/>
      <c r="BA51" s="21"/>
      <c r="BB51" s="30"/>
      <c r="BC51" s="12"/>
      <c r="BD51" s="12"/>
    </row>
    <row r="52" spans="1:56" ht="18.75" customHeight="1">
      <c r="A52" s="12"/>
      <c r="B52" s="26">
        <v>15</v>
      </c>
      <c r="C52" s="27"/>
      <c r="D52" s="28" t="s">
        <v>84</v>
      </c>
      <c r="E52" s="15"/>
      <c r="F52" s="15"/>
      <c r="G52" s="15"/>
      <c r="H52" s="15"/>
      <c r="I52" s="15"/>
      <c r="J52" s="15"/>
      <c r="K52" s="21" t="s">
        <v>25</v>
      </c>
      <c r="L52" s="15"/>
      <c r="M52" s="21"/>
      <c r="N52" s="15"/>
      <c r="O52" s="21"/>
      <c r="P52" s="15"/>
      <c r="Q52" s="21"/>
      <c r="R52" s="15"/>
      <c r="S52" s="21"/>
      <c r="T52" s="15"/>
      <c r="U52" s="21"/>
      <c r="V52" s="15"/>
      <c r="W52" s="21"/>
      <c r="X52" s="15"/>
      <c r="Y52" s="21"/>
      <c r="Z52" s="15"/>
      <c r="AA52" s="21"/>
      <c r="AB52" s="15"/>
      <c r="AC52" s="21"/>
      <c r="AD52" s="15"/>
      <c r="AE52" s="21"/>
      <c r="AF52" s="15"/>
      <c r="AG52" s="21"/>
      <c r="AH52" s="15"/>
      <c r="AI52" s="21"/>
      <c r="AJ52" s="15"/>
      <c r="AK52" s="21"/>
      <c r="AL52" s="15"/>
      <c r="AM52" s="21"/>
      <c r="AN52" s="15"/>
      <c r="AO52" s="21"/>
      <c r="AP52" s="15"/>
      <c r="AQ52" s="21"/>
      <c r="AR52" s="15"/>
      <c r="AS52" s="21"/>
      <c r="AT52" s="15"/>
      <c r="AU52" s="21"/>
      <c r="AV52" s="15"/>
      <c r="AW52" s="21"/>
      <c r="AX52" s="15"/>
      <c r="AY52" s="21"/>
      <c r="AZ52" s="15"/>
      <c r="BA52" s="21"/>
      <c r="BB52" s="30"/>
      <c r="BC52" s="12"/>
      <c r="BD52" s="12"/>
    </row>
    <row r="53" spans="1:56" ht="18.75" customHeight="1">
      <c r="A53" s="12"/>
      <c r="B53" s="26"/>
      <c r="C53" s="27"/>
      <c r="D53" s="28" t="s">
        <v>85</v>
      </c>
      <c r="E53" s="15"/>
      <c r="F53" s="15"/>
      <c r="G53" s="15"/>
      <c r="H53" s="15"/>
      <c r="I53" s="15"/>
      <c r="J53" s="15"/>
      <c r="K53" s="21" t="s">
        <v>25</v>
      </c>
      <c r="L53" s="22"/>
      <c r="M53" s="21"/>
      <c r="N53" s="31"/>
      <c r="O53" s="21"/>
      <c r="P53" s="15"/>
      <c r="Q53" s="21"/>
      <c r="R53" s="15"/>
      <c r="S53" s="21"/>
      <c r="T53" s="15"/>
      <c r="U53" s="21"/>
      <c r="V53" s="15"/>
      <c r="W53" s="21"/>
      <c r="X53" s="15"/>
      <c r="Y53" s="21"/>
      <c r="Z53" s="15"/>
      <c r="AA53" s="21"/>
      <c r="AB53" s="15"/>
      <c r="AC53" s="21"/>
      <c r="AD53" s="15"/>
      <c r="AE53" s="21"/>
      <c r="AF53" s="15"/>
      <c r="AG53" s="21"/>
      <c r="AH53" s="15"/>
      <c r="AI53" s="21"/>
      <c r="AJ53" s="15"/>
      <c r="AK53" s="21"/>
      <c r="AL53" s="15"/>
      <c r="AM53" s="21"/>
      <c r="AN53" s="15"/>
      <c r="AO53" s="21"/>
      <c r="AP53" s="15"/>
      <c r="AQ53" s="21"/>
      <c r="AR53" s="15"/>
      <c r="AS53" s="21"/>
      <c r="AT53" s="15"/>
      <c r="AU53" s="21"/>
      <c r="AV53" s="15"/>
      <c r="AW53" s="21"/>
      <c r="AX53" s="15"/>
      <c r="AY53" s="21"/>
      <c r="AZ53" s="15"/>
      <c r="BA53" s="21"/>
      <c r="BB53" s="30"/>
      <c r="BC53" s="12"/>
      <c r="BD53" s="12"/>
    </row>
    <row r="54" spans="1:56" ht="18.75" customHeight="1">
      <c r="A54" s="12"/>
      <c r="B54" s="26">
        <v>16</v>
      </c>
      <c r="C54" s="27"/>
      <c r="D54" s="28" t="s">
        <v>86</v>
      </c>
      <c r="E54" s="15"/>
      <c r="F54" s="15"/>
      <c r="G54" s="15"/>
      <c r="H54" s="15"/>
      <c r="I54" s="15"/>
      <c r="J54" s="15"/>
      <c r="K54" s="21" t="s">
        <v>25</v>
      </c>
      <c r="L54" s="22"/>
      <c r="M54" s="21"/>
      <c r="N54" s="31"/>
      <c r="O54" s="21"/>
      <c r="P54" s="15"/>
      <c r="Q54" s="21"/>
      <c r="R54" s="15"/>
      <c r="S54" s="21"/>
      <c r="T54" s="15"/>
      <c r="U54" s="21"/>
      <c r="V54" s="15"/>
      <c r="W54" s="21"/>
      <c r="X54" s="22"/>
      <c r="Y54" s="21"/>
      <c r="Z54" s="22"/>
      <c r="AA54" s="21"/>
      <c r="AB54" s="22"/>
      <c r="AC54" s="21"/>
      <c r="AD54" s="22"/>
      <c r="AE54" s="21"/>
      <c r="AF54" s="22"/>
      <c r="AG54" s="21"/>
      <c r="AH54" s="15"/>
      <c r="AI54" s="21"/>
      <c r="AJ54" s="15"/>
      <c r="AK54" s="21"/>
      <c r="AL54" s="15"/>
      <c r="AM54" s="21"/>
      <c r="AN54" s="15"/>
      <c r="AO54" s="21"/>
      <c r="AP54" s="15"/>
      <c r="AQ54" s="21"/>
      <c r="AR54" s="15"/>
      <c r="AS54" s="21"/>
      <c r="AT54" s="15"/>
      <c r="AU54" s="21"/>
      <c r="AV54" s="15"/>
      <c r="AW54" s="21"/>
      <c r="AX54" s="15"/>
      <c r="AY54" s="21"/>
      <c r="AZ54" s="15"/>
      <c r="BA54" s="21"/>
      <c r="BB54" s="30"/>
      <c r="BC54" s="12"/>
      <c r="BD54" s="12"/>
    </row>
    <row r="55" spans="1:56" ht="18.75" customHeight="1">
      <c r="A55" s="12"/>
      <c r="B55" s="26"/>
      <c r="C55" s="27"/>
      <c r="D55" s="28" t="s">
        <v>87</v>
      </c>
      <c r="E55" s="15"/>
      <c r="F55" s="15"/>
      <c r="G55" s="15"/>
      <c r="H55" s="15"/>
      <c r="I55" s="15"/>
      <c r="J55" s="15"/>
      <c r="K55" s="21" t="s">
        <v>25</v>
      </c>
      <c r="L55" s="22"/>
      <c r="M55" s="21"/>
      <c r="N55" s="31"/>
      <c r="O55" s="21"/>
      <c r="P55" s="15"/>
      <c r="Q55" s="21"/>
      <c r="R55" s="15"/>
      <c r="S55" s="21"/>
      <c r="T55" s="15"/>
      <c r="U55" s="21"/>
      <c r="V55" s="15"/>
      <c r="W55" s="21"/>
      <c r="X55" s="15"/>
      <c r="Y55" s="21"/>
      <c r="Z55" s="15"/>
      <c r="AA55" s="21"/>
      <c r="AB55" s="15"/>
      <c r="AC55" s="21"/>
      <c r="AD55" s="15"/>
      <c r="AE55" s="21"/>
      <c r="AF55" s="15"/>
      <c r="AG55" s="21"/>
      <c r="AH55" s="15"/>
      <c r="AI55" s="21"/>
      <c r="AJ55" s="15"/>
      <c r="AK55" s="21"/>
      <c r="AL55" s="15"/>
      <c r="AM55" s="21"/>
      <c r="AN55" s="15"/>
      <c r="AO55" s="21"/>
      <c r="AP55" s="15"/>
      <c r="AQ55" s="21"/>
      <c r="AR55" s="15"/>
      <c r="AS55" s="21"/>
      <c r="AT55" s="15"/>
      <c r="AU55" s="21"/>
      <c r="AV55" s="15"/>
      <c r="AW55" s="21"/>
      <c r="AX55" s="15"/>
      <c r="AY55" s="21"/>
      <c r="AZ55" s="15"/>
      <c r="BA55" s="21"/>
      <c r="BB55" s="30"/>
      <c r="BC55" s="12"/>
      <c r="BD55" s="12"/>
    </row>
    <row r="56" spans="1:56" ht="18.75" customHeight="1">
      <c r="A56" s="12"/>
      <c r="B56" s="26"/>
      <c r="C56" s="27"/>
      <c r="D56" s="28" t="s">
        <v>88</v>
      </c>
      <c r="E56" s="15"/>
      <c r="F56" s="15"/>
      <c r="G56" s="15"/>
      <c r="H56" s="15"/>
      <c r="I56" s="15"/>
      <c r="J56" s="15"/>
      <c r="K56" s="21" t="s">
        <v>25</v>
      </c>
      <c r="L56" s="22"/>
      <c r="M56" s="21"/>
      <c r="N56" s="31"/>
      <c r="O56" s="21"/>
      <c r="P56" s="15"/>
      <c r="Q56" s="21"/>
      <c r="R56" s="15"/>
      <c r="S56" s="21"/>
      <c r="T56" s="15"/>
      <c r="U56" s="21"/>
      <c r="V56" s="15"/>
      <c r="W56" s="21"/>
      <c r="X56" s="15"/>
      <c r="Y56" s="21"/>
      <c r="Z56" s="15"/>
      <c r="AA56" s="21"/>
      <c r="AB56" s="15"/>
      <c r="AC56" s="21"/>
      <c r="AD56" s="15"/>
      <c r="AE56" s="21"/>
      <c r="AF56" s="15"/>
      <c r="AG56" s="21"/>
      <c r="AH56" s="15"/>
      <c r="AI56" s="21"/>
      <c r="AJ56" s="15"/>
      <c r="AK56" s="21"/>
      <c r="AL56" s="15"/>
      <c r="AM56" s="21"/>
      <c r="AN56" s="15"/>
      <c r="AO56" s="21"/>
      <c r="AP56" s="15"/>
      <c r="AQ56" s="21"/>
      <c r="AR56" s="15"/>
      <c r="AS56" s="21"/>
      <c r="AT56" s="15"/>
      <c r="AU56" s="21"/>
      <c r="AV56" s="15"/>
      <c r="AW56" s="21"/>
      <c r="AX56" s="15"/>
      <c r="AY56" s="21"/>
      <c r="AZ56" s="15"/>
      <c r="BA56" s="21"/>
      <c r="BB56" s="30"/>
      <c r="BC56" s="12"/>
      <c r="BD56" s="12"/>
    </row>
    <row r="57" spans="1:56" ht="18.75" customHeight="1">
      <c r="A57" s="12"/>
      <c r="B57" s="26">
        <v>17</v>
      </c>
      <c r="C57" s="27"/>
      <c r="D57" s="28" t="s">
        <v>89</v>
      </c>
      <c r="E57" s="15"/>
      <c r="F57" s="15"/>
      <c r="G57" s="15"/>
      <c r="H57" s="15"/>
      <c r="I57" s="15"/>
      <c r="J57" s="15"/>
      <c r="K57" s="21" t="s">
        <v>25</v>
      </c>
      <c r="L57" s="32"/>
      <c r="M57" s="21"/>
      <c r="N57" s="32"/>
      <c r="O57" s="21"/>
      <c r="P57" s="32"/>
      <c r="Q57" s="21"/>
      <c r="R57" s="32"/>
      <c r="S57" s="21"/>
      <c r="T57" s="32"/>
      <c r="U57" s="21"/>
      <c r="V57" s="32"/>
      <c r="W57" s="21"/>
      <c r="X57" s="32"/>
      <c r="Y57" s="21"/>
      <c r="Z57" s="32"/>
      <c r="AA57" s="21"/>
      <c r="AB57" s="32"/>
      <c r="AC57" s="21"/>
      <c r="AD57" s="32"/>
      <c r="AE57" s="21"/>
      <c r="AF57" s="32"/>
      <c r="AG57" s="21"/>
      <c r="AH57" s="15"/>
      <c r="AI57" s="21"/>
      <c r="AJ57" s="15"/>
      <c r="AK57" s="21"/>
      <c r="AL57" s="15"/>
      <c r="AM57" s="21"/>
      <c r="AN57" s="15"/>
      <c r="AO57" s="21"/>
      <c r="AP57" s="15"/>
      <c r="AQ57" s="21"/>
      <c r="AR57" s="15"/>
      <c r="AS57" s="21"/>
      <c r="AT57" s="15"/>
      <c r="AU57" s="21"/>
      <c r="AV57" s="15"/>
      <c r="AW57" s="21"/>
      <c r="AX57" s="15"/>
      <c r="AY57" s="21"/>
      <c r="AZ57" s="15"/>
      <c r="BA57" s="21"/>
      <c r="BB57" s="30"/>
      <c r="BC57" s="12"/>
      <c r="BD57" s="12"/>
    </row>
    <row r="58" spans="1:56" ht="18.75" customHeight="1">
      <c r="A58" s="12"/>
      <c r="B58" s="26"/>
      <c r="C58" s="27"/>
      <c r="D58" s="28" t="s">
        <v>90</v>
      </c>
      <c r="E58" s="15"/>
      <c r="F58" s="15"/>
      <c r="G58" s="15"/>
      <c r="H58" s="15"/>
      <c r="I58" s="15"/>
      <c r="J58" s="22"/>
      <c r="K58" s="21" t="s">
        <v>25</v>
      </c>
      <c r="L58" s="15"/>
      <c r="M58" s="21"/>
      <c r="N58" s="32"/>
      <c r="O58" s="21"/>
      <c r="P58" s="32"/>
      <c r="Q58" s="21"/>
      <c r="R58" s="32"/>
      <c r="S58" s="21"/>
      <c r="T58" s="32"/>
      <c r="U58" s="21"/>
      <c r="V58" s="32"/>
      <c r="W58" s="21"/>
      <c r="X58" s="15"/>
      <c r="Y58" s="21"/>
      <c r="Z58" s="15"/>
      <c r="AA58" s="21"/>
      <c r="AB58" s="15"/>
      <c r="AC58" s="21"/>
      <c r="AD58" s="15"/>
      <c r="AE58" s="21"/>
      <c r="AF58" s="15"/>
      <c r="AG58" s="21"/>
      <c r="AH58" s="15"/>
      <c r="AI58" s="21"/>
      <c r="AJ58" s="15"/>
      <c r="AK58" s="21"/>
      <c r="AL58" s="15"/>
      <c r="AM58" s="21"/>
      <c r="AN58" s="15"/>
      <c r="AO58" s="21"/>
      <c r="AP58" s="15"/>
      <c r="AQ58" s="21"/>
      <c r="AR58" s="15"/>
      <c r="AS58" s="21"/>
      <c r="AT58" s="15"/>
      <c r="AU58" s="21"/>
      <c r="AV58" s="15"/>
      <c r="AW58" s="21"/>
      <c r="AX58" s="15"/>
      <c r="AY58" s="21"/>
      <c r="AZ58" s="15"/>
      <c r="BA58" s="21"/>
      <c r="BB58" s="30"/>
      <c r="BC58" s="12"/>
      <c r="BD58" s="12"/>
    </row>
    <row r="59" spans="1:56" ht="18.75" customHeight="1">
      <c r="A59" s="12"/>
      <c r="B59" s="26"/>
      <c r="C59" s="27"/>
      <c r="D59" s="28" t="s">
        <v>91</v>
      </c>
      <c r="E59" s="15"/>
      <c r="F59" s="15"/>
      <c r="G59" s="15"/>
      <c r="H59" s="15"/>
      <c r="I59" s="15"/>
      <c r="J59" s="22"/>
      <c r="K59" s="21" t="s">
        <v>25</v>
      </c>
      <c r="L59" s="22"/>
      <c r="M59" s="21"/>
      <c r="N59" s="15"/>
      <c r="O59" s="21"/>
      <c r="P59" s="15"/>
      <c r="Q59" s="21"/>
      <c r="R59" s="15"/>
      <c r="S59" s="21"/>
      <c r="T59" s="15"/>
      <c r="U59" s="21"/>
      <c r="V59" s="15"/>
      <c r="W59" s="21"/>
      <c r="X59" s="31"/>
      <c r="Y59" s="21"/>
      <c r="Z59" s="31"/>
      <c r="AA59" s="21"/>
      <c r="AB59" s="31"/>
      <c r="AC59" s="21"/>
      <c r="AD59" s="31"/>
      <c r="AE59" s="21"/>
      <c r="AF59" s="31"/>
      <c r="AG59" s="21"/>
      <c r="AH59" s="15"/>
      <c r="AI59" s="21"/>
      <c r="AJ59" s="15"/>
      <c r="AK59" s="21"/>
      <c r="AL59" s="15"/>
      <c r="AM59" s="21"/>
      <c r="AN59" s="15"/>
      <c r="AO59" s="21"/>
      <c r="AP59" s="15"/>
      <c r="AQ59" s="21"/>
      <c r="AR59" s="15"/>
      <c r="AS59" s="21"/>
      <c r="AT59" s="15"/>
      <c r="AU59" s="21"/>
      <c r="AV59" s="15"/>
      <c r="AW59" s="21"/>
      <c r="AX59" s="15"/>
      <c r="AY59" s="21"/>
      <c r="AZ59" s="15"/>
      <c r="BA59" s="21"/>
      <c r="BB59" s="30"/>
      <c r="BC59" s="12"/>
      <c r="BD59" s="12"/>
    </row>
    <row r="60" spans="1:56" ht="18.75" customHeight="1">
      <c r="A60" s="12"/>
      <c r="B60" s="26"/>
      <c r="C60" s="27"/>
      <c r="D60" s="28" t="s">
        <v>92</v>
      </c>
      <c r="E60" s="15"/>
      <c r="F60" s="15"/>
      <c r="G60" s="15"/>
      <c r="H60" s="15"/>
      <c r="I60" s="15"/>
      <c r="J60" s="15"/>
      <c r="K60" s="21" t="s">
        <v>25</v>
      </c>
      <c r="L60" s="33"/>
      <c r="M60" s="21"/>
      <c r="N60" s="15"/>
      <c r="O60" s="21"/>
      <c r="P60" s="15"/>
      <c r="Q60" s="21"/>
      <c r="R60" s="15"/>
      <c r="S60" s="21"/>
      <c r="T60" s="15"/>
      <c r="U60" s="21"/>
      <c r="V60" s="15"/>
      <c r="W60" s="21"/>
      <c r="X60" s="25"/>
      <c r="Y60" s="21"/>
      <c r="Z60" s="25"/>
      <c r="AA60" s="21"/>
      <c r="AB60" s="25"/>
      <c r="AC60" s="21"/>
      <c r="AD60" s="25"/>
      <c r="AE60" s="21"/>
      <c r="AF60" s="25"/>
      <c r="AG60" s="21"/>
      <c r="AH60" s="15"/>
      <c r="AI60" s="21"/>
      <c r="AJ60" s="15"/>
      <c r="AK60" s="21"/>
      <c r="AL60" s="15"/>
      <c r="AM60" s="21"/>
      <c r="AN60" s="15"/>
      <c r="AO60" s="21"/>
      <c r="AP60" s="15"/>
      <c r="AQ60" s="21"/>
      <c r="AR60" s="15"/>
      <c r="AS60" s="21"/>
      <c r="AT60" s="15"/>
      <c r="AU60" s="21"/>
      <c r="AV60" s="15"/>
      <c r="AW60" s="21"/>
      <c r="AX60" s="15"/>
      <c r="AY60" s="21"/>
      <c r="AZ60" s="15"/>
      <c r="BA60" s="21"/>
      <c r="BB60" s="30"/>
      <c r="BC60" s="12"/>
      <c r="BD60" s="12"/>
    </row>
    <row r="61" spans="1:56" ht="18.75" customHeight="1">
      <c r="A61" s="12"/>
      <c r="B61" s="26">
        <v>18</v>
      </c>
      <c r="C61" s="27"/>
      <c r="D61" s="28" t="s">
        <v>93</v>
      </c>
      <c r="E61" s="15"/>
      <c r="F61" s="15"/>
      <c r="G61" s="15"/>
      <c r="H61" s="15"/>
      <c r="I61" s="15"/>
      <c r="J61" s="15"/>
      <c r="K61" s="21" t="s">
        <v>25</v>
      </c>
      <c r="L61" s="15"/>
      <c r="M61" s="21"/>
      <c r="N61" s="25"/>
      <c r="O61" s="21"/>
      <c r="P61" s="25"/>
      <c r="Q61" s="21"/>
      <c r="R61" s="25"/>
      <c r="S61" s="21"/>
      <c r="T61" s="25"/>
      <c r="U61" s="21"/>
      <c r="V61" s="25"/>
      <c r="W61" s="21"/>
      <c r="X61" s="15"/>
      <c r="Y61" s="21"/>
      <c r="Z61" s="15"/>
      <c r="AA61" s="21"/>
      <c r="AB61" s="15"/>
      <c r="AC61" s="21"/>
      <c r="AD61" s="15"/>
      <c r="AE61" s="21"/>
      <c r="AF61" s="15"/>
      <c r="AG61" s="21"/>
      <c r="AH61" s="15"/>
      <c r="AI61" s="21"/>
      <c r="AJ61" s="15"/>
      <c r="AK61" s="21"/>
      <c r="AL61" s="15"/>
      <c r="AM61" s="21"/>
      <c r="AN61" s="15"/>
      <c r="AO61" s="21"/>
      <c r="AP61" s="15"/>
      <c r="AQ61" s="21"/>
      <c r="AR61" s="15"/>
      <c r="AS61" s="21"/>
      <c r="AT61" s="15"/>
      <c r="AU61" s="21"/>
      <c r="AV61" s="15"/>
      <c r="AW61" s="21"/>
      <c r="AX61" s="22"/>
      <c r="AY61" s="21"/>
      <c r="AZ61" s="15"/>
      <c r="BA61" s="21"/>
      <c r="BB61" s="30"/>
      <c r="BC61" s="12"/>
      <c r="BD61" s="12"/>
    </row>
    <row r="62" spans="1:56" ht="18.75" customHeight="1">
      <c r="A62" s="12"/>
      <c r="B62" s="26"/>
      <c r="C62" s="27"/>
      <c r="D62" s="28" t="s">
        <v>94</v>
      </c>
      <c r="E62" s="15"/>
      <c r="F62" s="15"/>
      <c r="G62" s="15"/>
      <c r="H62" s="15"/>
      <c r="I62" s="15"/>
      <c r="J62" s="15"/>
      <c r="K62" s="21" t="s">
        <v>25</v>
      </c>
      <c r="L62" s="15"/>
      <c r="M62" s="21"/>
      <c r="N62" s="15"/>
      <c r="O62" s="21"/>
      <c r="P62" s="22"/>
      <c r="Q62" s="21"/>
      <c r="R62" s="15"/>
      <c r="S62" s="21"/>
      <c r="T62" s="15"/>
      <c r="U62" s="21"/>
      <c r="V62" s="15"/>
      <c r="W62" s="21"/>
      <c r="X62" s="15"/>
      <c r="Y62" s="21"/>
      <c r="Z62" s="15"/>
      <c r="AA62" s="21"/>
      <c r="AB62" s="15"/>
      <c r="AC62" s="21"/>
      <c r="AD62" s="15"/>
      <c r="AE62" s="21"/>
      <c r="AF62" s="15"/>
      <c r="AG62" s="21"/>
      <c r="AH62" s="15"/>
      <c r="AI62" s="21"/>
      <c r="AJ62" s="15"/>
      <c r="AK62" s="21"/>
      <c r="AL62" s="15"/>
      <c r="AM62" s="21"/>
      <c r="AN62" s="15"/>
      <c r="AO62" s="21"/>
      <c r="AP62" s="15"/>
      <c r="AQ62" s="21"/>
      <c r="AR62" s="15"/>
      <c r="AS62" s="21"/>
      <c r="AT62" s="15"/>
      <c r="AU62" s="21"/>
      <c r="AV62" s="15"/>
      <c r="AW62" s="21"/>
      <c r="AX62" s="22"/>
      <c r="AY62" s="21"/>
      <c r="AZ62" s="15"/>
      <c r="BA62" s="21"/>
      <c r="BB62" s="30"/>
      <c r="BC62" s="12"/>
      <c r="BD62" s="12"/>
    </row>
    <row r="63" spans="1:56" ht="18.75" customHeight="1">
      <c r="A63" s="12"/>
      <c r="B63" s="26"/>
      <c r="C63" s="27"/>
      <c r="D63" s="28" t="s">
        <v>95</v>
      </c>
      <c r="E63" s="15"/>
      <c r="F63" s="15"/>
      <c r="G63" s="15"/>
      <c r="H63" s="15"/>
      <c r="I63" s="15"/>
      <c r="J63" s="15"/>
      <c r="K63" s="21" t="s">
        <v>25</v>
      </c>
      <c r="L63" s="15"/>
      <c r="M63" s="21"/>
      <c r="N63" s="15"/>
      <c r="O63" s="21"/>
      <c r="P63" s="22"/>
      <c r="Q63" s="21"/>
      <c r="R63" s="15"/>
      <c r="S63" s="21"/>
      <c r="T63" s="15"/>
      <c r="U63" s="21"/>
      <c r="V63" s="15"/>
      <c r="W63" s="21"/>
      <c r="X63" s="15"/>
      <c r="Y63" s="21"/>
      <c r="Z63" s="15"/>
      <c r="AA63" s="21"/>
      <c r="AB63" s="15"/>
      <c r="AC63" s="21"/>
      <c r="AD63" s="15"/>
      <c r="AE63" s="21"/>
      <c r="AF63" s="15"/>
      <c r="AG63" s="21"/>
      <c r="AH63" s="15"/>
      <c r="AI63" s="21"/>
      <c r="AJ63" s="15"/>
      <c r="AK63" s="21"/>
      <c r="AL63" s="15"/>
      <c r="AM63" s="21"/>
      <c r="AN63" s="15"/>
      <c r="AO63" s="21"/>
      <c r="AP63" s="15"/>
      <c r="AQ63" s="21"/>
      <c r="AR63" s="15"/>
      <c r="AS63" s="21"/>
      <c r="AT63" s="15"/>
      <c r="AU63" s="21"/>
      <c r="AV63" s="15"/>
      <c r="AW63" s="21"/>
      <c r="AX63" s="22"/>
      <c r="AY63" s="21"/>
      <c r="AZ63" s="15"/>
      <c r="BA63" s="21"/>
      <c r="BB63" s="30"/>
      <c r="BC63" s="12"/>
      <c r="BD63" s="12"/>
    </row>
    <row r="64" spans="1:56" ht="18.75" customHeight="1">
      <c r="A64" s="12"/>
      <c r="B64" s="26">
        <v>19</v>
      </c>
      <c r="C64" s="27"/>
      <c r="D64" s="28" t="s">
        <v>96</v>
      </c>
      <c r="E64" s="15"/>
      <c r="F64" s="15"/>
      <c r="G64" s="15"/>
      <c r="H64" s="15"/>
      <c r="I64" s="15"/>
      <c r="J64" s="15"/>
      <c r="K64" s="21" t="s">
        <v>25</v>
      </c>
      <c r="L64" s="15"/>
      <c r="M64" s="21"/>
      <c r="N64" s="15"/>
      <c r="O64" s="21"/>
      <c r="P64" s="22"/>
      <c r="Q64" s="21"/>
      <c r="R64" s="15"/>
      <c r="S64" s="21"/>
      <c r="T64" s="15"/>
      <c r="U64" s="21"/>
      <c r="V64" s="15"/>
      <c r="W64" s="21"/>
      <c r="X64" s="15"/>
      <c r="Y64" s="21"/>
      <c r="Z64" s="15"/>
      <c r="AA64" s="21"/>
      <c r="AB64" s="15"/>
      <c r="AC64" s="21"/>
      <c r="AD64" s="15"/>
      <c r="AE64" s="21"/>
      <c r="AF64" s="15"/>
      <c r="AG64" s="21"/>
      <c r="AH64" s="15"/>
      <c r="AI64" s="21"/>
      <c r="AJ64" s="15"/>
      <c r="AK64" s="21"/>
      <c r="AL64" s="15"/>
      <c r="AM64" s="21"/>
      <c r="AN64" s="15"/>
      <c r="AO64" s="21"/>
      <c r="AP64" s="15"/>
      <c r="AQ64" s="21"/>
      <c r="AR64" s="15"/>
      <c r="AS64" s="21"/>
      <c r="AT64" s="15"/>
      <c r="AU64" s="21"/>
      <c r="AV64" s="15"/>
      <c r="AW64" s="21"/>
      <c r="AX64" s="22"/>
      <c r="AY64" s="21"/>
      <c r="AZ64" s="15"/>
      <c r="BA64" s="21"/>
      <c r="BB64" s="30"/>
      <c r="BC64" s="12"/>
      <c r="BD64" s="12"/>
    </row>
    <row r="65" spans="1:56" ht="18.75" customHeight="1">
      <c r="A65" s="12"/>
      <c r="B65" s="26">
        <v>20</v>
      </c>
      <c r="C65" s="27"/>
      <c r="D65" s="28" t="s">
        <v>97</v>
      </c>
      <c r="E65" s="15"/>
      <c r="F65" s="15"/>
      <c r="G65" s="15"/>
      <c r="H65" s="15"/>
      <c r="I65" s="15"/>
      <c r="J65" s="15"/>
      <c r="K65" s="21" t="s">
        <v>25</v>
      </c>
      <c r="L65" s="15"/>
      <c r="M65" s="21"/>
      <c r="N65" s="15"/>
      <c r="O65" s="21"/>
      <c r="P65" s="22"/>
      <c r="Q65" s="21"/>
      <c r="R65" s="15"/>
      <c r="S65" s="21"/>
      <c r="T65" s="15"/>
      <c r="U65" s="21"/>
      <c r="V65" s="15"/>
      <c r="W65" s="21"/>
      <c r="X65" s="15"/>
      <c r="Y65" s="21"/>
      <c r="Z65" s="15"/>
      <c r="AA65" s="21"/>
      <c r="AB65" s="15"/>
      <c r="AC65" s="21"/>
      <c r="AD65" s="15"/>
      <c r="AE65" s="21"/>
      <c r="AF65" s="15"/>
      <c r="AG65" s="21"/>
      <c r="AH65" s="15"/>
      <c r="AI65" s="21"/>
      <c r="AJ65" s="15"/>
      <c r="AK65" s="21"/>
      <c r="AL65" s="15"/>
      <c r="AM65" s="21"/>
      <c r="AN65" s="15"/>
      <c r="AO65" s="21"/>
      <c r="AP65" s="15"/>
      <c r="AQ65" s="21"/>
      <c r="AR65" s="15"/>
      <c r="AS65" s="21"/>
      <c r="AT65" s="15"/>
      <c r="AU65" s="21"/>
      <c r="AV65" s="15"/>
      <c r="AW65" s="21"/>
      <c r="AX65" s="22"/>
      <c r="AY65" s="21"/>
      <c r="AZ65" s="15"/>
      <c r="BA65" s="21"/>
      <c r="BB65" s="30"/>
      <c r="BC65" s="12"/>
      <c r="BD65" s="12"/>
    </row>
    <row r="66" spans="1:56" ht="18.75" customHeight="1">
      <c r="A66" s="12"/>
      <c r="B66" s="26">
        <v>21</v>
      </c>
      <c r="C66" s="27"/>
      <c r="D66" s="28" t="s">
        <v>98</v>
      </c>
      <c r="E66" s="15"/>
      <c r="F66" s="15"/>
      <c r="G66" s="15"/>
      <c r="H66" s="15"/>
      <c r="I66" s="15"/>
      <c r="J66" s="15"/>
      <c r="K66" s="21" t="s">
        <v>25</v>
      </c>
      <c r="L66" s="15"/>
      <c r="M66" s="21"/>
      <c r="N66" s="15"/>
      <c r="O66" s="21"/>
      <c r="P66" s="22"/>
      <c r="Q66" s="21"/>
      <c r="R66" s="15"/>
      <c r="S66" s="21"/>
      <c r="T66" s="15"/>
      <c r="U66" s="21"/>
      <c r="V66" s="15"/>
      <c r="W66" s="21"/>
      <c r="X66" s="15"/>
      <c r="Y66" s="21"/>
      <c r="Z66" s="15"/>
      <c r="AA66" s="21"/>
      <c r="AB66" s="15"/>
      <c r="AC66" s="21"/>
      <c r="AD66" s="15"/>
      <c r="AE66" s="21"/>
      <c r="AF66" s="15"/>
      <c r="AG66" s="21"/>
      <c r="AH66" s="15"/>
      <c r="AI66" s="21"/>
      <c r="AJ66" s="15"/>
      <c r="AK66" s="21"/>
      <c r="AL66" s="15"/>
      <c r="AM66" s="21"/>
      <c r="AN66" s="15"/>
      <c r="AO66" s="21"/>
      <c r="AP66" s="15"/>
      <c r="AQ66" s="21"/>
      <c r="AR66" s="15"/>
      <c r="AS66" s="21"/>
      <c r="AT66" s="15"/>
      <c r="AU66" s="21"/>
      <c r="AV66" s="15"/>
      <c r="AW66" s="21"/>
      <c r="AX66" s="22"/>
      <c r="AY66" s="21"/>
      <c r="AZ66" s="15"/>
      <c r="BA66" s="21"/>
      <c r="BB66" s="30"/>
      <c r="BC66" s="12"/>
      <c r="BD66" s="12"/>
    </row>
    <row r="67" spans="1:56" ht="18.75" customHeight="1">
      <c r="A67" s="12"/>
      <c r="B67" s="26">
        <v>22</v>
      </c>
      <c r="C67" s="27"/>
      <c r="D67" s="28" t="s">
        <v>99</v>
      </c>
      <c r="E67" s="15"/>
      <c r="F67" s="15"/>
      <c r="G67" s="15"/>
      <c r="H67" s="15"/>
      <c r="I67" s="15"/>
      <c r="J67" s="15"/>
      <c r="K67" s="18" t="s">
        <v>25</v>
      </c>
      <c r="L67" s="17"/>
      <c r="M67" s="18"/>
      <c r="N67" s="15"/>
      <c r="O67" s="21"/>
      <c r="P67" s="22"/>
      <c r="Q67" s="21"/>
      <c r="R67" s="15"/>
      <c r="S67" s="19"/>
      <c r="T67" s="15"/>
      <c r="U67" s="19"/>
      <c r="V67" s="15"/>
      <c r="W67" s="34"/>
      <c r="X67" s="15"/>
      <c r="Y67" s="34"/>
      <c r="Z67" s="17"/>
      <c r="AA67" s="21"/>
      <c r="AB67" s="15"/>
      <c r="AC67" s="21"/>
      <c r="AD67" s="15"/>
      <c r="AE67" s="21"/>
      <c r="AF67" s="15"/>
      <c r="AG67" s="21"/>
      <c r="AH67" s="15"/>
      <c r="AI67" s="21"/>
      <c r="AJ67" s="15"/>
      <c r="AK67" s="21"/>
      <c r="AL67" s="15"/>
      <c r="AM67" s="21"/>
      <c r="AN67" s="15"/>
      <c r="AO67" s="21"/>
      <c r="AP67" s="15"/>
      <c r="AQ67" s="21"/>
      <c r="AR67" s="15"/>
      <c r="AS67" s="21"/>
      <c r="AT67" s="15"/>
      <c r="AU67" s="21"/>
      <c r="AV67" s="15"/>
      <c r="AW67" s="21"/>
      <c r="AX67" s="22"/>
      <c r="AY67" s="21"/>
      <c r="AZ67" s="15"/>
      <c r="BA67" s="21"/>
      <c r="BB67" s="30"/>
      <c r="BC67" s="12"/>
      <c r="BD67" s="12"/>
    </row>
    <row r="68" spans="1:56" ht="18.75" customHeight="1">
      <c r="A68" s="12"/>
      <c r="B68" s="26">
        <v>23</v>
      </c>
      <c r="C68" s="27"/>
      <c r="D68" s="28" t="s">
        <v>100</v>
      </c>
      <c r="E68" s="15"/>
      <c r="F68" s="15"/>
      <c r="G68" s="15"/>
      <c r="H68" s="15"/>
      <c r="I68" s="15"/>
      <c r="J68" s="15"/>
      <c r="K68" s="21" t="s">
        <v>25</v>
      </c>
      <c r="L68" s="15"/>
      <c r="M68" s="21"/>
      <c r="N68" s="15"/>
      <c r="O68" s="21"/>
      <c r="P68" s="22"/>
      <c r="Q68" s="21"/>
      <c r="R68" s="15"/>
      <c r="S68" s="19"/>
      <c r="T68" s="15"/>
      <c r="U68" s="19"/>
      <c r="V68" s="15"/>
      <c r="W68" s="34"/>
      <c r="X68" s="15"/>
      <c r="Y68" s="34"/>
      <c r="Z68" s="17"/>
      <c r="AA68" s="21"/>
      <c r="AB68" s="15"/>
      <c r="AC68" s="21"/>
      <c r="AD68" s="15"/>
      <c r="AE68" s="21"/>
      <c r="AF68" s="15"/>
      <c r="AG68" s="21"/>
      <c r="AH68" s="15"/>
      <c r="AI68" s="21"/>
      <c r="AJ68" s="15"/>
      <c r="AK68" s="18"/>
      <c r="AL68" s="15"/>
      <c r="AM68" s="19"/>
      <c r="AN68" s="15"/>
      <c r="AO68" s="21"/>
      <c r="AP68" s="15"/>
      <c r="AQ68" s="21"/>
      <c r="AR68" s="15"/>
      <c r="AS68" s="21"/>
      <c r="AT68" s="15"/>
      <c r="AU68" s="21"/>
      <c r="AV68" s="15"/>
      <c r="AW68" s="21"/>
      <c r="AX68" s="22"/>
      <c r="AY68" s="21"/>
      <c r="AZ68" s="15"/>
      <c r="BA68" s="21"/>
      <c r="BB68" s="30"/>
      <c r="BC68" s="12"/>
      <c r="BD68" s="12"/>
    </row>
    <row r="69" spans="1:56" ht="18.75" customHeight="1">
      <c r="A69" s="12"/>
      <c r="B69" s="26"/>
      <c r="C69" s="27"/>
      <c r="D69" s="28" t="s">
        <v>101</v>
      </c>
      <c r="E69" s="15"/>
      <c r="F69" s="15"/>
      <c r="G69" s="15"/>
      <c r="H69" s="15"/>
      <c r="I69" s="15"/>
      <c r="J69" s="15"/>
      <c r="K69" s="21" t="s">
        <v>25</v>
      </c>
      <c r="L69" s="15"/>
      <c r="M69" s="21"/>
      <c r="N69" s="15"/>
      <c r="O69" s="21"/>
      <c r="P69" s="22"/>
      <c r="Q69" s="21"/>
      <c r="R69" s="15"/>
      <c r="S69" s="19"/>
      <c r="T69" s="15"/>
      <c r="U69" s="19"/>
      <c r="V69" s="15"/>
      <c r="W69" s="34"/>
      <c r="X69" s="15"/>
      <c r="Y69" s="34"/>
      <c r="Z69" s="17"/>
      <c r="AA69" s="21"/>
      <c r="AB69" s="15"/>
      <c r="AC69" s="21"/>
      <c r="AD69" s="15"/>
      <c r="AE69" s="21"/>
      <c r="AF69" s="15"/>
      <c r="AG69" s="21"/>
      <c r="AH69" s="15"/>
      <c r="AI69" s="21"/>
      <c r="AJ69" s="15"/>
      <c r="AK69" s="21"/>
      <c r="AL69" s="15"/>
      <c r="AM69" s="21"/>
      <c r="AN69" s="15"/>
      <c r="AO69" s="21"/>
      <c r="AP69" s="15"/>
      <c r="AQ69" s="21"/>
      <c r="AR69" s="15"/>
      <c r="AS69" s="21"/>
      <c r="AT69" s="15"/>
      <c r="AU69" s="21"/>
      <c r="AV69" s="15"/>
      <c r="AW69" s="21"/>
      <c r="AX69" s="22"/>
      <c r="AY69" s="21"/>
      <c r="AZ69" s="15"/>
      <c r="BA69" s="21"/>
      <c r="BB69" s="30"/>
      <c r="BC69" s="12"/>
      <c r="BD69" s="12"/>
    </row>
    <row r="70" spans="1:56" ht="18.75" customHeight="1">
      <c r="A70" s="12"/>
      <c r="B70" s="26"/>
      <c r="C70" s="27"/>
      <c r="D70" s="28" t="s">
        <v>102</v>
      </c>
      <c r="E70" s="15"/>
      <c r="F70" s="15"/>
      <c r="G70" s="15"/>
      <c r="H70" s="15"/>
      <c r="I70" s="15"/>
      <c r="J70" s="15"/>
      <c r="K70" s="21" t="s">
        <v>25</v>
      </c>
      <c r="L70" s="15"/>
      <c r="M70" s="21"/>
      <c r="N70" s="15"/>
      <c r="O70" s="21"/>
      <c r="P70" s="22"/>
      <c r="Q70" s="21"/>
      <c r="R70" s="15"/>
      <c r="S70" s="19"/>
      <c r="T70" s="15"/>
      <c r="U70" s="19"/>
      <c r="V70" s="15"/>
      <c r="W70" s="34"/>
      <c r="X70" s="15"/>
      <c r="Y70" s="34"/>
      <c r="Z70" s="17"/>
      <c r="AA70" s="21"/>
      <c r="AB70" s="15"/>
      <c r="AC70" s="21"/>
      <c r="AD70" s="15"/>
      <c r="AE70" s="21"/>
      <c r="AF70" s="15"/>
      <c r="AG70" s="21"/>
      <c r="AH70" s="15"/>
      <c r="AI70" s="21"/>
      <c r="AJ70" s="15"/>
      <c r="AK70" s="18"/>
      <c r="AL70" s="15"/>
      <c r="AM70" s="18"/>
      <c r="AN70" s="15"/>
      <c r="AO70" s="21"/>
      <c r="AP70" s="15"/>
      <c r="AQ70" s="21"/>
      <c r="AR70" s="15"/>
      <c r="AS70" s="21"/>
      <c r="AT70" s="15"/>
      <c r="AU70" s="21"/>
      <c r="AV70" s="15"/>
      <c r="AW70" s="21"/>
      <c r="AX70" s="22"/>
      <c r="AY70" s="21"/>
      <c r="AZ70" s="15"/>
      <c r="BA70" s="21"/>
      <c r="BB70" s="30"/>
      <c r="BC70" s="12"/>
      <c r="BD70" s="12"/>
    </row>
    <row r="71" spans="1:56" ht="18.75" customHeight="1">
      <c r="A71" s="12"/>
      <c r="B71" s="26"/>
      <c r="C71" s="27"/>
      <c r="D71" s="28" t="s">
        <v>104</v>
      </c>
      <c r="E71" s="15"/>
      <c r="F71" s="15"/>
      <c r="G71" s="15"/>
      <c r="H71" s="15"/>
      <c r="I71" s="15"/>
      <c r="J71" s="15"/>
      <c r="K71" s="21" t="s">
        <v>105</v>
      </c>
      <c r="L71" s="35">
        <v>319</v>
      </c>
      <c r="M71" s="21"/>
      <c r="N71" s="15"/>
      <c r="O71" s="21"/>
      <c r="P71" s="22"/>
      <c r="Q71" s="21"/>
      <c r="R71" s="15"/>
      <c r="S71" s="19"/>
      <c r="T71" s="15"/>
      <c r="U71" s="19"/>
      <c r="V71" s="15"/>
      <c r="W71" s="34"/>
      <c r="X71" s="15"/>
      <c r="Y71" s="34"/>
      <c r="Z71" s="17"/>
      <c r="AA71" s="21"/>
      <c r="AB71" s="15"/>
      <c r="AC71" s="21"/>
      <c r="AD71" s="15"/>
      <c r="AE71" s="21"/>
      <c r="AF71" s="15"/>
      <c r="AG71" s="21"/>
      <c r="AH71" s="15"/>
      <c r="AI71" s="21"/>
      <c r="AJ71" s="15"/>
      <c r="AK71" s="21"/>
      <c r="AL71" s="15"/>
      <c r="AM71" s="21"/>
      <c r="AN71" s="15"/>
      <c r="AO71" s="21"/>
      <c r="AP71" s="15"/>
      <c r="AQ71" s="21"/>
      <c r="AR71" s="15"/>
      <c r="AS71" s="21"/>
      <c r="AT71" s="15"/>
      <c r="AU71" s="21"/>
      <c r="AV71" s="15"/>
      <c r="AW71" s="21"/>
      <c r="AX71" s="22"/>
      <c r="AY71" s="21"/>
      <c r="AZ71" s="15"/>
      <c r="BA71" s="21"/>
      <c r="BB71" s="30"/>
      <c r="BC71" s="12"/>
      <c r="BD71" s="12"/>
    </row>
    <row r="72" spans="1:56" ht="18.75" customHeight="1">
      <c r="A72" s="12"/>
      <c r="B72" s="26"/>
      <c r="C72" s="27"/>
      <c r="D72" s="28" t="s">
        <v>106</v>
      </c>
      <c r="E72" s="15"/>
      <c r="F72" s="15"/>
      <c r="G72" s="15"/>
      <c r="H72" s="15"/>
      <c r="I72" s="15"/>
      <c r="J72" s="15"/>
      <c r="K72" s="21" t="s">
        <v>25</v>
      </c>
      <c r="L72" s="15"/>
      <c r="M72" s="21"/>
      <c r="N72" s="15"/>
      <c r="O72" s="21"/>
      <c r="P72" s="22"/>
      <c r="Q72" s="21"/>
      <c r="R72" s="15"/>
      <c r="S72" s="19"/>
      <c r="T72" s="15"/>
      <c r="U72" s="19"/>
      <c r="V72" s="15"/>
      <c r="W72" s="34"/>
      <c r="X72" s="15"/>
      <c r="Y72" s="34"/>
      <c r="Z72" s="17"/>
      <c r="AA72" s="21"/>
      <c r="AB72" s="15"/>
      <c r="AC72" s="21"/>
      <c r="AD72" s="15"/>
      <c r="AE72" s="21"/>
      <c r="AF72" s="15"/>
      <c r="AG72" s="21"/>
      <c r="AH72" s="15"/>
      <c r="AI72" s="21"/>
      <c r="AJ72" s="15"/>
      <c r="AK72" s="21"/>
      <c r="AL72" s="15"/>
      <c r="AM72" s="21"/>
      <c r="AN72" s="15"/>
      <c r="AO72" s="21"/>
      <c r="AP72" s="15"/>
      <c r="AQ72" s="21"/>
      <c r="AR72" s="15"/>
      <c r="AS72" s="21"/>
      <c r="AT72" s="15"/>
      <c r="AU72" s="21"/>
      <c r="AV72" s="15"/>
      <c r="AW72" s="21"/>
      <c r="AX72" s="22"/>
      <c r="AY72" s="21"/>
      <c r="AZ72" s="15"/>
      <c r="BA72" s="21"/>
      <c r="BB72" s="30"/>
      <c r="BC72" s="12"/>
      <c r="BD72" s="12"/>
    </row>
    <row r="73" spans="1:56" ht="18.75" customHeight="1">
      <c r="A73" s="12"/>
      <c r="B73" s="26"/>
      <c r="C73" s="27"/>
      <c r="D73" s="28" t="s">
        <v>107</v>
      </c>
      <c r="E73" s="15"/>
      <c r="F73" s="15"/>
      <c r="G73" s="15"/>
      <c r="H73" s="15"/>
      <c r="I73" s="15"/>
      <c r="J73" s="15"/>
      <c r="K73" s="21"/>
      <c r="L73" s="15" t="s">
        <v>108</v>
      </c>
      <c r="M73" s="21"/>
      <c r="N73" s="35"/>
      <c r="O73" s="21"/>
      <c r="P73" s="22"/>
      <c r="Q73" s="21"/>
      <c r="R73" s="15"/>
      <c r="S73" s="19"/>
      <c r="T73" s="15"/>
      <c r="U73" s="19"/>
      <c r="V73" s="15"/>
      <c r="W73" s="34"/>
      <c r="X73" s="15"/>
      <c r="Y73" s="34"/>
      <c r="Z73" s="17"/>
      <c r="AA73" s="21"/>
      <c r="AB73" s="15"/>
      <c r="AC73" s="21"/>
      <c r="AD73" s="15"/>
      <c r="AE73" s="21"/>
      <c r="AF73" s="15"/>
      <c r="AG73" s="21"/>
      <c r="AH73" s="15"/>
      <c r="AI73" s="21"/>
      <c r="AJ73" s="15"/>
      <c r="AK73" s="21"/>
      <c r="AL73" s="15"/>
      <c r="AM73" s="21"/>
      <c r="AN73" s="15"/>
      <c r="AO73" s="21"/>
      <c r="AP73" s="15"/>
      <c r="AQ73" s="21"/>
      <c r="AR73" s="15"/>
      <c r="AS73" s="21"/>
      <c r="AT73" s="15"/>
      <c r="AU73" s="21"/>
      <c r="AV73" s="15"/>
      <c r="AW73" s="21"/>
      <c r="AX73" s="22"/>
      <c r="AY73" s="21"/>
      <c r="AZ73" s="15"/>
      <c r="BA73" s="21"/>
      <c r="BB73" s="30"/>
      <c r="BC73" s="12"/>
      <c r="BD73" s="12"/>
    </row>
    <row r="74" spans="1:56" ht="18.75" customHeight="1">
      <c r="A74" s="12"/>
      <c r="B74" s="26"/>
      <c r="C74" s="27"/>
      <c r="D74" s="28" t="s">
        <v>109</v>
      </c>
      <c r="E74" s="15"/>
      <c r="F74" s="15"/>
      <c r="G74" s="15"/>
      <c r="H74" s="15"/>
      <c r="I74" s="15"/>
      <c r="J74" s="15"/>
      <c r="K74" s="21"/>
      <c r="L74" s="15"/>
      <c r="M74" s="21"/>
      <c r="N74" s="35"/>
      <c r="O74" s="21"/>
      <c r="P74" s="22"/>
      <c r="Q74" s="21"/>
      <c r="R74" s="15"/>
      <c r="S74" s="19"/>
      <c r="T74" s="15"/>
      <c r="U74" s="19"/>
      <c r="V74" s="15"/>
      <c r="W74" s="34"/>
      <c r="X74" s="15"/>
      <c r="Y74" s="34"/>
      <c r="Z74" s="17"/>
      <c r="AA74" s="21"/>
      <c r="AB74" s="15"/>
      <c r="AC74" s="21"/>
      <c r="AD74" s="15"/>
      <c r="AE74" s="21"/>
      <c r="AF74" s="15"/>
      <c r="AG74" s="21"/>
      <c r="AH74" s="15"/>
      <c r="AI74" s="21"/>
      <c r="AJ74" s="15"/>
      <c r="AK74" s="21"/>
      <c r="AL74" s="15"/>
      <c r="AM74" s="21"/>
      <c r="AN74" s="15"/>
      <c r="AO74" s="21"/>
      <c r="AP74" s="15"/>
      <c r="AQ74" s="21"/>
      <c r="AR74" s="15"/>
      <c r="AS74" s="21"/>
      <c r="AT74" s="15"/>
      <c r="AU74" s="21"/>
      <c r="AV74" s="15"/>
      <c r="AW74" s="21"/>
      <c r="AX74" s="22"/>
      <c r="AY74" s="21"/>
      <c r="AZ74" s="15"/>
      <c r="BA74" s="21"/>
      <c r="BB74" s="30"/>
      <c r="BC74" s="12"/>
      <c r="BD74" s="12"/>
    </row>
    <row r="75" spans="1:56" ht="18.75" customHeight="1">
      <c r="A75" s="12"/>
      <c r="B75" s="26"/>
      <c r="C75" s="27"/>
      <c r="D75" s="28" t="s">
        <v>110</v>
      </c>
      <c r="E75" s="15"/>
      <c r="F75" s="15"/>
      <c r="G75" s="15"/>
      <c r="H75" s="15"/>
      <c r="I75" s="15"/>
      <c r="J75" s="15"/>
      <c r="K75" s="21"/>
      <c r="L75" s="15"/>
      <c r="M75" s="21"/>
      <c r="N75" s="35"/>
      <c r="O75" s="21"/>
      <c r="P75" s="22"/>
      <c r="Q75" s="21"/>
      <c r="R75" s="15"/>
      <c r="S75" s="19"/>
      <c r="T75" s="15"/>
      <c r="U75" s="19"/>
      <c r="V75" s="15"/>
      <c r="W75" s="34"/>
      <c r="X75" s="15"/>
      <c r="Y75" s="34"/>
      <c r="Z75" s="17"/>
      <c r="AA75" s="21"/>
      <c r="AB75" s="15"/>
      <c r="AC75" s="21"/>
      <c r="AD75" s="15"/>
      <c r="AE75" s="21"/>
      <c r="AF75" s="15"/>
      <c r="AG75" s="21"/>
      <c r="AH75" s="15"/>
      <c r="AI75" s="21"/>
      <c r="AJ75" s="15"/>
      <c r="AK75" s="21"/>
      <c r="AL75" s="15"/>
      <c r="AM75" s="21"/>
      <c r="AN75" s="15"/>
      <c r="AO75" s="21"/>
      <c r="AP75" s="15"/>
      <c r="AQ75" s="21"/>
      <c r="AR75" s="15"/>
      <c r="AS75" s="21"/>
      <c r="AT75" s="15"/>
      <c r="AU75" s="21"/>
      <c r="AV75" s="15"/>
      <c r="AW75" s="21"/>
      <c r="AX75" s="22"/>
      <c r="AY75" s="21"/>
      <c r="AZ75" s="15"/>
      <c r="BA75" s="21"/>
      <c r="BB75" s="30"/>
      <c r="BC75" s="12"/>
      <c r="BD75" s="12"/>
    </row>
    <row r="76" spans="1:56" ht="18.75" customHeight="1">
      <c r="A76" s="12"/>
      <c r="B76" s="26"/>
      <c r="C76" s="27"/>
      <c r="D76" s="28" t="s">
        <v>111</v>
      </c>
      <c r="E76" s="15"/>
      <c r="F76" s="15"/>
      <c r="G76" s="15"/>
      <c r="H76" s="15"/>
      <c r="I76" s="15"/>
      <c r="J76" s="15"/>
      <c r="K76" s="21"/>
      <c r="L76" s="15" t="s">
        <v>108</v>
      </c>
      <c r="M76" s="21"/>
      <c r="N76" s="35"/>
      <c r="O76" s="21"/>
      <c r="P76" s="22"/>
      <c r="Q76" s="21"/>
      <c r="R76" s="15"/>
      <c r="S76" s="19"/>
      <c r="T76" s="15"/>
      <c r="U76" s="19"/>
      <c r="V76" s="15"/>
      <c r="W76" s="34"/>
      <c r="X76" s="15"/>
      <c r="Y76" s="34"/>
      <c r="Z76" s="17"/>
      <c r="AA76" s="21"/>
      <c r="AB76" s="15"/>
      <c r="AC76" s="21"/>
      <c r="AD76" s="15"/>
      <c r="AE76" s="21"/>
      <c r="AF76" s="15"/>
      <c r="AG76" s="21"/>
      <c r="AH76" s="15"/>
      <c r="AI76" s="21"/>
      <c r="AJ76" s="15"/>
      <c r="AK76" s="21"/>
      <c r="AL76" s="15"/>
      <c r="AM76" s="21"/>
      <c r="AN76" s="15"/>
      <c r="AO76" s="21"/>
      <c r="AP76" s="15"/>
      <c r="AQ76" s="21"/>
      <c r="AR76" s="15"/>
      <c r="AS76" s="21"/>
      <c r="AT76" s="15"/>
      <c r="AU76" s="21"/>
      <c r="AV76" s="15"/>
      <c r="AW76" s="21"/>
      <c r="AX76" s="22"/>
      <c r="AY76" s="21"/>
      <c r="AZ76" s="15"/>
      <c r="BA76" s="21"/>
      <c r="BB76" s="30"/>
      <c r="BC76" s="12"/>
      <c r="BD76" s="12"/>
    </row>
    <row r="77" spans="1:56" ht="18.75" customHeight="1">
      <c r="A77" s="12"/>
      <c r="B77" s="26"/>
      <c r="C77" s="27"/>
      <c r="D77" s="28" t="s">
        <v>112</v>
      </c>
      <c r="E77" s="15"/>
      <c r="F77" s="15"/>
      <c r="G77" s="15"/>
      <c r="H77" s="15"/>
      <c r="I77" s="15"/>
      <c r="J77" s="15"/>
      <c r="K77" s="21"/>
      <c r="L77" s="15" t="s">
        <v>108</v>
      </c>
      <c r="M77" s="21" t="s">
        <v>42</v>
      </c>
      <c r="N77" s="35"/>
      <c r="O77" s="21"/>
      <c r="P77" s="22"/>
      <c r="Q77" s="21"/>
      <c r="R77" s="15"/>
      <c r="S77" s="19"/>
      <c r="T77" s="15"/>
      <c r="U77" s="19"/>
      <c r="V77" s="15"/>
      <c r="W77" s="34"/>
      <c r="X77" s="15"/>
      <c r="Y77" s="34"/>
      <c r="Z77" s="17"/>
      <c r="AA77" s="21"/>
      <c r="AB77" s="15"/>
      <c r="AC77" s="21"/>
      <c r="AD77" s="15"/>
      <c r="AE77" s="21"/>
      <c r="AF77" s="15"/>
      <c r="AG77" s="21"/>
      <c r="AH77" s="15"/>
      <c r="AI77" s="21"/>
      <c r="AJ77" s="15"/>
      <c r="AK77" s="21"/>
      <c r="AL77" s="15"/>
      <c r="AM77" s="21"/>
      <c r="AN77" s="15"/>
      <c r="AO77" s="21"/>
      <c r="AP77" s="15"/>
      <c r="AQ77" s="21"/>
      <c r="AR77" s="15"/>
      <c r="AS77" s="21"/>
      <c r="AT77" s="15"/>
      <c r="AU77" s="21"/>
      <c r="AV77" s="15"/>
      <c r="AW77" s="21"/>
      <c r="AX77" s="22"/>
      <c r="AY77" s="21"/>
      <c r="AZ77" s="15"/>
      <c r="BA77" s="21"/>
      <c r="BB77" s="30"/>
      <c r="BC77" s="12"/>
      <c r="BD77" s="12"/>
    </row>
    <row r="78" spans="1:56" ht="18.75" customHeight="1">
      <c r="A78" s="12"/>
      <c r="B78" s="26" t="s">
        <v>113</v>
      </c>
      <c r="C78" s="27"/>
      <c r="D78" s="36" t="s">
        <v>114</v>
      </c>
      <c r="E78" s="15"/>
      <c r="F78" s="15"/>
      <c r="G78" s="15"/>
      <c r="H78" s="15"/>
      <c r="I78" s="15"/>
      <c r="J78" s="15"/>
      <c r="K78" s="21"/>
      <c r="L78" s="15"/>
      <c r="M78" s="15"/>
      <c r="N78" s="15"/>
      <c r="O78" s="15"/>
      <c r="P78" s="22"/>
      <c r="Q78" s="15"/>
      <c r="R78" s="15"/>
      <c r="S78" s="15"/>
      <c r="T78" s="15"/>
      <c r="U78" s="15"/>
      <c r="V78" s="15"/>
      <c r="W78" s="31"/>
      <c r="X78" s="2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30"/>
      <c r="AY78" s="15"/>
      <c r="AZ78" s="15"/>
      <c r="BA78" s="15"/>
      <c r="BB78" s="30"/>
      <c r="BC78" s="12"/>
      <c r="BD78" s="12"/>
    </row>
    <row r="79" spans="1:56" ht="18.75" customHeight="1">
      <c r="A79" s="12"/>
      <c r="B79" s="37"/>
      <c r="C79" s="38"/>
      <c r="D79" s="39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1"/>
      <c r="AY79" s="40"/>
      <c r="AZ79" s="40"/>
      <c r="BA79" s="40"/>
      <c r="BB79" s="41"/>
      <c r="BC79" s="12"/>
      <c r="BD79" s="12"/>
    </row>
    <row r="80" spans="1:56" ht="18.75" customHeight="1">
      <c r="A80" s="12"/>
      <c r="B80" s="42"/>
      <c r="C80" s="43"/>
      <c r="D80" s="44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6"/>
      <c r="AY80" s="45"/>
      <c r="AZ80" s="45"/>
      <c r="BA80" s="45"/>
      <c r="BB80" s="46"/>
      <c r="BC80" s="12"/>
      <c r="BD80" s="12"/>
    </row>
    <row r="81" spans="1:56" ht="18.75" customHeight="1">
      <c r="A81" s="12"/>
      <c r="B81" s="47"/>
      <c r="C81" s="12"/>
      <c r="D81" s="48"/>
      <c r="E81" s="48"/>
      <c r="F81" s="48"/>
      <c r="G81" s="48"/>
      <c r="H81" s="48"/>
      <c r="I81" s="48"/>
      <c r="J81" s="48"/>
      <c r="K81" s="12"/>
      <c r="L81" s="49">
        <f>SUM(L4:L80)</f>
        <v>985</v>
      </c>
      <c r="M81" s="12"/>
      <c r="N81" s="50">
        <f>SUM(N4:N80)</f>
        <v>0</v>
      </c>
      <c r="O81" s="12"/>
      <c r="P81" s="12">
        <f>SUM(P4:P80)</f>
        <v>0</v>
      </c>
      <c r="Q81" s="12"/>
      <c r="R81" s="12">
        <f>SUM(R4:R80)</f>
        <v>0</v>
      </c>
      <c r="S81" s="12"/>
      <c r="T81" s="12">
        <f>SUM(T4:T80)</f>
        <v>0</v>
      </c>
      <c r="U81" s="12"/>
      <c r="V81" s="12">
        <f>SUM(V4:V80)</f>
        <v>0</v>
      </c>
      <c r="W81" s="12"/>
      <c r="X81" s="12">
        <f>SUM(X4:X80)</f>
        <v>0</v>
      </c>
      <c r="Y81" s="12"/>
      <c r="Z81" s="12">
        <f>SUM(Z4:Z80)</f>
        <v>0</v>
      </c>
      <c r="AA81" s="12"/>
      <c r="AB81" s="12">
        <f>SUM(AB4:AB80)</f>
        <v>0</v>
      </c>
      <c r="AC81" s="12"/>
      <c r="AD81" s="12">
        <f>SUM(AD4:AD80)</f>
        <v>0</v>
      </c>
      <c r="AE81" s="12"/>
      <c r="AF81" s="12">
        <f>SUM(AF4:AF80)</f>
        <v>0</v>
      </c>
      <c r="AG81" s="12"/>
      <c r="AH81" s="12">
        <f>SUM(AH4:AH80)</f>
        <v>0</v>
      </c>
      <c r="AI81" s="12"/>
      <c r="AJ81" s="12">
        <f>SUM(AJ4:AJ80)</f>
        <v>0</v>
      </c>
      <c r="AK81" s="12"/>
      <c r="AL81" s="12">
        <f>SUM(AL4:AL80)</f>
        <v>0</v>
      </c>
      <c r="AM81" s="12"/>
      <c r="AN81" s="12">
        <f>SUM(AN4:AN80)</f>
        <v>0</v>
      </c>
      <c r="AO81" s="12"/>
      <c r="AP81" s="12">
        <f>SUM(AP4:AP80)</f>
        <v>0</v>
      </c>
      <c r="AQ81" s="12"/>
      <c r="AR81" s="12">
        <f>SUM(AR4:AR80)</f>
        <v>0</v>
      </c>
      <c r="AS81" s="12"/>
      <c r="AT81" s="12">
        <f>SUM(AT4:AT80)</f>
        <v>0</v>
      </c>
      <c r="AU81" s="12"/>
      <c r="AV81" s="12">
        <f>SUM(AV4:AV80)</f>
        <v>0</v>
      </c>
      <c r="AW81" s="12"/>
      <c r="AX81" s="12">
        <f>SUM(AX4:AX80)</f>
        <v>0</v>
      </c>
      <c r="AY81" s="12"/>
      <c r="AZ81" s="12">
        <f>SUM(AZ4:AZ80)</f>
        <v>0</v>
      </c>
      <c r="BA81" s="12"/>
      <c r="BB81" s="12">
        <f>SUM(BB4:BB80)</f>
        <v>1800</v>
      </c>
      <c r="BC81" s="51" t="s">
        <v>115</v>
      </c>
      <c r="BD81" s="12">
        <f>SUM(K81:BC81)</f>
        <v>2785</v>
      </c>
    </row>
    <row r="82" spans="1:56" ht="18.75" customHeight="1">
      <c r="A82" s="18" t="s">
        <v>42</v>
      </c>
      <c r="B82" s="47"/>
      <c r="C82" s="12"/>
      <c r="D82" s="48" t="s">
        <v>116</v>
      </c>
      <c r="E82" s="48"/>
      <c r="F82" s="48"/>
      <c r="G82" s="48"/>
      <c r="H82" s="48"/>
      <c r="I82" s="48"/>
      <c r="J82" s="48"/>
      <c r="K82" s="12">
        <f>COUNTIF(K4:K80,"◎")</f>
        <v>2</v>
      </c>
      <c r="L82" s="12"/>
      <c r="M82" s="12">
        <f>COUNTIF(M4:M80,"◎")</f>
        <v>2</v>
      </c>
      <c r="N82" s="12"/>
      <c r="O82" s="12">
        <f>COUNTIF(O4:O80,"◎")</f>
        <v>0</v>
      </c>
      <c r="P82" s="12"/>
      <c r="Q82" s="12">
        <f>COUNTIF(Q4:Q80,"◎")</f>
        <v>0</v>
      </c>
      <c r="R82" s="12"/>
      <c r="S82" s="12">
        <f>COUNTIF(S4:S80,"◎")</f>
        <v>0</v>
      </c>
      <c r="T82" s="12"/>
      <c r="U82" s="12">
        <f>COUNTIF(U4:U80,"◎")</f>
        <v>0</v>
      </c>
      <c r="V82" s="12"/>
      <c r="W82" s="12">
        <f>COUNTIF(W4:W80,"◎")</f>
        <v>0</v>
      </c>
      <c r="X82" s="12"/>
      <c r="Y82" s="12">
        <f>COUNTIF(Y4:Y80,"◎")</f>
        <v>0</v>
      </c>
      <c r="Z82" s="12"/>
      <c r="AA82" s="12">
        <f>COUNTIF(AA4:AA80,"◎")</f>
        <v>0</v>
      </c>
      <c r="AB82" s="12"/>
      <c r="AC82" s="12">
        <f>COUNTIF(AC4:AC80,"◎")</f>
        <v>0</v>
      </c>
      <c r="AD82" s="12"/>
      <c r="AE82" s="12">
        <f>COUNTIF(AE4:AE80,"◎")</f>
        <v>0</v>
      </c>
      <c r="AF82" s="12"/>
      <c r="AG82" s="12">
        <f>COUNTIF(AG4:AG80,"◎")</f>
        <v>0</v>
      </c>
      <c r="AH82" s="12"/>
      <c r="AI82" s="12">
        <f>COUNTIF(AI4:AI80,"◎")</f>
        <v>0</v>
      </c>
      <c r="AJ82" s="12"/>
      <c r="AK82" s="12">
        <f>COUNTIF(AK4:AK80,"◎")</f>
        <v>0</v>
      </c>
      <c r="AL82" s="12"/>
      <c r="AM82" s="12">
        <f>COUNTIF(AM4:AM80,"◎")</f>
        <v>0</v>
      </c>
      <c r="AN82" s="12"/>
      <c r="AO82" s="12">
        <f>COUNTIF(AO4:AO80,"◎")</f>
        <v>0</v>
      </c>
      <c r="AP82" s="12"/>
      <c r="AQ82" s="12">
        <f>COUNTIF(AQ4:AQ80,"◎")</f>
        <v>0</v>
      </c>
      <c r="AR82" s="12"/>
      <c r="AS82" s="12">
        <f>COUNTIF(AS4:AS80,"◎")</f>
        <v>0</v>
      </c>
      <c r="AT82" s="12"/>
      <c r="AU82" s="12">
        <f>COUNTIF(AU4:AU80,"◎")</f>
        <v>0</v>
      </c>
      <c r="AV82" s="12"/>
      <c r="AW82" s="12">
        <f>COUNTIF(AW4:AW80,"◎")</f>
        <v>0</v>
      </c>
      <c r="AX82" s="12"/>
      <c r="AY82" s="12">
        <f>COUNTIF(AY4:AY80,"◎")</f>
        <v>0</v>
      </c>
      <c r="AZ82" s="12"/>
      <c r="BA82" s="12">
        <f>COUNTIF(BA4:BA80,"◎")</f>
        <v>0</v>
      </c>
      <c r="BB82" s="12"/>
      <c r="BC82" s="52">
        <f t="shared" ref="BC82:BC88" si="0">SUM(K82:BB82)</f>
        <v>4</v>
      </c>
      <c r="BD82" s="12"/>
    </row>
    <row r="83" spans="1:56" ht="18.75" customHeight="1">
      <c r="A83" s="18" t="s">
        <v>117</v>
      </c>
      <c r="B83" s="47"/>
      <c r="C83" s="12"/>
      <c r="D83" s="48" t="s">
        <v>118</v>
      </c>
      <c r="E83" s="48"/>
      <c r="F83" s="48"/>
      <c r="G83" s="48"/>
      <c r="H83" s="48"/>
      <c r="I83" s="48"/>
      <c r="J83" s="48"/>
      <c r="K83" s="12">
        <f>COUNTIF(K4:K80,"●")</f>
        <v>0</v>
      </c>
      <c r="L83" s="12"/>
      <c r="M83" s="12">
        <f>COUNTIF(M4:M80,"●")</f>
        <v>0</v>
      </c>
      <c r="N83" s="12"/>
      <c r="O83" s="12">
        <f>COUNTIF(O4:O80,"●")</f>
        <v>0</v>
      </c>
      <c r="P83" s="12"/>
      <c r="Q83" s="12">
        <f>COUNTIF(Q4:Q80,"●")</f>
        <v>0</v>
      </c>
      <c r="R83" s="12"/>
      <c r="S83" s="12">
        <f>COUNTIF(S4:S80,"●")</f>
        <v>0</v>
      </c>
      <c r="T83" s="12"/>
      <c r="U83" s="12">
        <f>COUNTIF(U4:U80,"●")</f>
        <v>0</v>
      </c>
      <c r="V83" s="12"/>
      <c r="W83" s="12">
        <f>COUNTIF(W4:W80,"●")</f>
        <v>0</v>
      </c>
      <c r="X83" s="12"/>
      <c r="Y83" s="12">
        <f>COUNTIF(Y4:Y80,"●")</f>
        <v>0</v>
      </c>
      <c r="Z83" s="12"/>
      <c r="AA83" s="12">
        <f>COUNTIF(AA4:AA80,"●")</f>
        <v>0</v>
      </c>
      <c r="AB83" s="12"/>
      <c r="AC83" s="12">
        <f>COUNTIF(AC4:AC80,"●")</f>
        <v>0</v>
      </c>
      <c r="AD83" s="12"/>
      <c r="AE83" s="12">
        <f>COUNTIF(AE4:AE80,"●")</f>
        <v>0</v>
      </c>
      <c r="AF83" s="12"/>
      <c r="AG83" s="12">
        <f>COUNTIF(AG4:AG80,"●")</f>
        <v>0</v>
      </c>
      <c r="AH83" s="12"/>
      <c r="AI83" s="12">
        <f>COUNTIF(AI4:AI80,"●")</f>
        <v>0</v>
      </c>
      <c r="AJ83" s="12"/>
      <c r="AK83" s="12">
        <f>COUNTIF(AK4:AK80,"●")</f>
        <v>0</v>
      </c>
      <c r="AL83" s="12"/>
      <c r="AM83" s="12">
        <f>COUNTIF(AM4:AM80,"●")</f>
        <v>0</v>
      </c>
      <c r="AN83" s="12"/>
      <c r="AO83" s="12">
        <f>COUNTIF(AO4:AO80,"●")</f>
        <v>0</v>
      </c>
      <c r="AP83" s="12"/>
      <c r="AQ83" s="12">
        <f>COUNTIF(AQ4:AQ80,"●")</f>
        <v>0</v>
      </c>
      <c r="AR83" s="12"/>
      <c r="AS83" s="12">
        <f>COUNTIF(AS4:AS80,"●")</f>
        <v>0</v>
      </c>
      <c r="AT83" s="12"/>
      <c r="AU83" s="12">
        <f>COUNTIF(AU4:AU80,"●")</f>
        <v>0</v>
      </c>
      <c r="AV83" s="12"/>
      <c r="AW83" s="12">
        <f>COUNTIF(AW4:AW80,"●")</f>
        <v>0</v>
      </c>
      <c r="AX83" s="12"/>
      <c r="AY83" s="12">
        <f>COUNTIF(AY4:AY80,"●")</f>
        <v>0</v>
      </c>
      <c r="AZ83" s="12"/>
      <c r="BA83" s="12">
        <f>COUNTIF(BA4:BA80,"●")</f>
        <v>0</v>
      </c>
      <c r="BB83" s="12"/>
      <c r="BC83" s="52">
        <f t="shared" si="0"/>
        <v>0</v>
      </c>
      <c r="BD83" s="12"/>
    </row>
    <row r="84" spans="1:56" ht="18.75" customHeight="1">
      <c r="A84" s="18" t="s">
        <v>19</v>
      </c>
      <c r="B84" s="47"/>
      <c r="C84" s="12"/>
      <c r="D84" s="48" t="s">
        <v>119</v>
      </c>
      <c r="E84" s="48"/>
      <c r="F84" s="48"/>
      <c r="G84" s="48"/>
      <c r="H84" s="48"/>
      <c r="I84" s="48"/>
      <c r="J84" s="48"/>
      <c r="K84" s="12">
        <f>COUNTIF(K4:K80,"□")</f>
        <v>1</v>
      </c>
      <c r="L84" s="12"/>
      <c r="M84" s="12">
        <f>COUNTIF(M4:M80,"□")</f>
        <v>0</v>
      </c>
      <c r="N84" s="12"/>
      <c r="O84" s="12">
        <f>COUNTIF(O4:O80,"□")</f>
        <v>0</v>
      </c>
      <c r="P84" s="12"/>
      <c r="Q84" s="12">
        <f>COUNTIF(Q4:Q80,"□")</f>
        <v>0</v>
      </c>
      <c r="R84" s="12"/>
      <c r="S84" s="12">
        <f>COUNTIF(S4:S80,"□")</f>
        <v>0</v>
      </c>
      <c r="T84" s="12"/>
      <c r="U84" s="12">
        <f>COUNTIF(U4:U80,"□")</f>
        <v>0</v>
      </c>
      <c r="V84" s="12"/>
      <c r="W84" s="12">
        <f>COUNTIF(W4:W80,"□")</f>
        <v>0</v>
      </c>
      <c r="X84" s="12"/>
      <c r="Y84" s="12">
        <f>COUNTIF(Y4:Y80,"□")</f>
        <v>0</v>
      </c>
      <c r="Z84" s="12"/>
      <c r="AA84" s="12">
        <f>COUNTIF(AA4:AA80,"□")</f>
        <v>0</v>
      </c>
      <c r="AB84" s="12"/>
      <c r="AC84" s="12">
        <f>COUNTIF(AC4:AC80,"□")</f>
        <v>0</v>
      </c>
      <c r="AD84" s="12"/>
      <c r="AE84" s="12">
        <f>COUNTIF(AE4:AE80,"□")</f>
        <v>0</v>
      </c>
      <c r="AF84" s="12"/>
      <c r="AG84" s="12">
        <f>COUNTIF(AG4:AG80,"□")</f>
        <v>0</v>
      </c>
      <c r="AH84" s="12"/>
      <c r="AI84" s="12">
        <f>COUNTIF(AI4:AI80,"□")</f>
        <v>0</v>
      </c>
      <c r="AJ84" s="12"/>
      <c r="AK84" s="12">
        <f>COUNTIF(AK4:AK80,"□")</f>
        <v>0</v>
      </c>
      <c r="AL84" s="12"/>
      <c r="AM84" s="12">
        <f>COUNTIF(AM4:AM80,"□")</f>
        <v>0</v>
      </c>
      <c r="AN84" s="12"/>
      <c r="AO84" s="12">
        <f>COUNTIF(AO4:AO80,"□")</f>
        <v>0</v>
      </c>
      <c r="AP84" s="12"/>
      <c r="AQ84" s="12">
        <f>COUNTIF(AQ4:AQ80,"□")</f>
        <v>0</v>
      </c>
      <c r="AR84" s="12"/>
      <c r="AS84" s="12">
        <f>COUNTIF(AS4:AS80,"□")</f>
        <v>0</v>
      </c>
      <c r="AT84" s="12"/>
      <c r="AU84" s="12">
        <f>COUNTIF(AU4:AU80,"□")</f>
        <v>0</v>
      </c>
      <c r="AV84" s="12"/>
      <c r="AW84" s="12">
        <f>COUNTIF(AW4:AW80,"□")</f>
        <v>0</v>
      </c>
      <c r="AX84" s="12"/>
      <c r="AY84" s="12">
        <f>COUNTIF(AY4:AY80,"□")</f>
        <v>0</v>
      </c>
      <c r="AZ84" s="12"/>
      <c r="BA84" s="12">
        <f>COUNTIF(BA4:BA80,"□")</f>
        <v>0</v>
      </c>
      <c r="BB84" s="12"/>
      <c r="BC84" s="52">
        <f t="shared" si="0"/>
        <v>1</v>
      </c>
      <c r="BD84" s="12"/>
    </row>
    <row r="85" spans="1:56" ht="18.75" customHeight="1">
      <c r="A85" s="18" t="s">
        <v>105</v>
      </c>
      <c r="B85" s="47"/>
      <c r="C85" s="12"/>
      <c r="D85" s="48" t="s">
        <v>120</v>
      </c>
      <c r="E85" s="48"/>
      <c r="F85" s="48"/>
      <c r="G85" s="48"/>
      <c r="H85" s="48"/>
      <c r="I85" s="48"/>
      <c r="J85" s="48"/>
      <c r="K85" s="12">
        <f>COUNTIF(K4:K80,"△")</f>
        <v>1</v>
      </c>
      <c r="L85" s="12"/>
      <c r="M85" s="12">
        <f>COUNTIF(M4:M80,"△")</f>
        <v>0</v>
      </c>
      <c r="N85" s="12"/>
      <c r="O85" s="12">
        <f>COUNTIF(O4:O80,"△")</f>
        <v>0</v>
      </c>
      <c r="P85" s="12"/>
      <c r="Q85" s="12">
        <f>COUNTIF(Q4:Q80,"△")</f>
        <v>0</v>
      </c>
      <c r="R85" s="12"/>
      <c r="S85" s="12">
        <f>COUNTIF(S4:S80,"△")</f>
        <v>0</v>
      </c>
      <c r="T85" s="12"/>
      <c r="U85" s="12">
        <f>COUNTIF(U4:U80,"△")</f>
        <v>0</v>
      </c>
      <c r="V85" s="12"/>
      <c r="W85" s="12">
        <f>COUNTIF(W4:W80,"△")</f>
        <v>0</v>
      </c>
      <c r="X85" s="12"/>
      <c r="Y85" s="12">
        <f>COUNTIF(Y4:Y80,"△")</f>
        <v>0</v>
      </c>
      <c r="Z85" s="12"/>
      <c r="AA85" s="12">
        <f>COUNTIF(AA4:AA80,"△")</f>
        <v>0</v>
      </c>
      <c r="AB85" s="12"/>
      <c r="AC85" s="12">
        <f>COUNTIF(AC4:AC80,"△")</f>
        <v>0</v>
      </c>
      <c r="AD85" s="12"/>
      <c r="AE85" s="12">
        <f>COUNTIF(AE4:AE80,"△")</f>
        <v>0</v>
      </c>
      <c r="AF85" s="12"/>
      <c r="AG85" s="12">
        <f>COUNTIF(AG4:AG80,"△")</f>
        <v>0</v>
      </c>
      <c r="AH85" s="12"/>
      <c r="AI85" s="12">
        <f>COUNTIF(AI4:AI80,"△")</f>
        <v>0</v>
      </c>
      <c r="AJ85" s="12"/>
      <c r="AK85" s="12">
        <f>COUNTIF(AK4:AK80,"△")</f>
        <v>0</v>
      </c>
      <c r="AL85" s="12"/>
      <c r="AM85" s="12">
        <f>COUNTIF(AM4:AM80,"△")</f>
        <v>0</v>
      </c>
      <c r="AN85" s="12"/>
      <c r="AO85" s="12">
        <f>COUNTIF(AO4:AO80,"△")</f>
        <v>0</v>
      </c>
      <c r="AP85" s="12"/>
      <c r="AQ85" s="12">
        <f>COUNTIF(AQ4:AQ80,"△")</f>
        <v>0</v>
      </c>
      <c r="AR85" s="12"/>
      <c r="AS85" s="12">
        <f>COUNTIF(AS4:AS80,"△")</f>
        <v>0</v>
      </c>
      <c r="AT85" s="12"/>
      <c r="AU85" s="12">
        <f>COUNTIF(AU4:AU80,"△")</f>
        <v>0</v>
      </c>
      <c r="AV85" s="12"/>
      <c r="AW85" s="12">
        <f>COUNTIF(AW4:AW80,"△")</f>
        <v>0</v>
      </c>
      <c r="AX85" s="12"/>
      <c r="AY85" s="12">
        <f>COUNTIF(AY4:AY80,"△")</f>
        <v>0</v>
      </c>
      <c r="AZ85" s="12"/>
      <c r="BA85" s="12">
        <f>COUNTIF(BA4:BA80,"△")</f>
        <v>0</v>
      </c>
      <c r="BB85" s="12"/>
      <c r="BC85" s="52">
        <f t="shared" si="0"/>
        <v>1</v>
      </c>
      <c r="BD85" s="12"/>
    </row>
    <row r="86" spans="1:56" ht="18.75" customHeight="1">
      <c r="A86" s="12"/>
      <c r="B86" s="47"/>
      <c r="C86" s="12"/>
      <c r="D86" s="53" t="s">
        <v>121</v>
      </c>
      <c r="E86" s="54"/>
      <c r="F86" s="54"/>
      <c r="G86" s="54"/>
      <c r="H86" s="54"/>
      <c r="I86" s="54"/>
      <c r="J86" s="54"/>
      <c r="K86" s="52">
        <f>SUM(K82:K85)</f>
        <v>4</v>
      </c>
      <c r="L86" s="52"/>
      <c r="M86" s="52">
        <f>SUM(M82:M85)</f>
        <v>2</v>
      </c>
      <c r="N86" s="52"/>
      <c r="O86" s="52">
        <f>SUM(O82:O85)</f>
        <v>0</v>
      </c>
      <c r="P86" s="52"/>
      <c r="Q86" s="52">
        <f>SUM(Q82:Q85)</f>
        <v>0</v>
      </c>
      <c r="R86" s="52"/>
      <c r="S86" s="52">
        <f>SUM(S82:S85)</f>
        <v>0</v>
      </c>
      <c r="T86" s="52"/>
      <c r="U86" s="52">
        <f>SUM(U82:U85)</f>
        <v>0</v>
      </c>
      <c r="V86" s="52"/>
      <c r="W86" s="52">
        <f>SUM(W82:W85)</f>
        <v>0</v>
      </c>
      <c r="X86" s="52"/>
      <c r="Y86" s="52">
        <f>SUM(Y82:Y85)</f>
        <v>0</v>
      </c>
      <c r="Z86" s="52"/>
      <c r="AA86" s="52">
        <f>SUM(AA82:AA85)</f>
        <v>0</v>
      </c>
      <c r="AB86" s="52"/>
      <c r="AC86" s="52">
        <f>SUM(AC82:AC85)</f>
        <v>0</v>
      </c>
      <c r="AD86" s="52"/>
      <c r="AE86" s="52">
        <f>SUM(AE82:AE85)</f>
        <v>0</v>
      </c>
      <c r="AF86" s="52"/>
      <c r="AG86" s="52">
        <f>SUM(AG82:AG85)</f>
        <v>0</v>
      </c>
      <c r="AH86" s="52"/>
      <c r="AI86" s="52">
        <f>SUM(AI82:AI85)</f>
        <v>0</v>
      </c>
      <c r="AJ86" s="52"/>
      <c r="AK86" s="52">
        <f>SUM(AK82:AK85)</f>
        <v>0</v>
      </c>
      <c r="AL86" s="52"/>
      <c r="AM86" s="52">
        <f>SUM(AM82:AM85)</f>
        <v>0</v>
      </c>
      <c r="AN86" s="52"/>
      <c r="AO86" s="52">
        <f>SUM(AO82:AO85)</f>
        <v>0</v>
      </c>
      <c r="AP86" s="52"/>
      <c r="AQ86" s="52">
        <f>SUM(AQ82:AQ85)</f>
        <v>0</v>
      </c>
      <c r="AR86" s="52"/>
      <c r="AS86" s="52">
        <f>SUM(AS82:AS85)</f>
        <v>0</v>
      </c>
      <c r="AT86" s="52"/>
      <c r="AU86" s="52">
        <f>SUM(AU82:AU85)</f>
        <v>0</v>
      </c>
      <c r="AV86" s="52"/>
      <c r="AW86" s="52">
        <f>SUM(AW82:AW85)</f>
        <v>0</v>
      </c>
      <c r="AX86" s="52"/>
      <c r="AY86" s="52">
        <f>SUM(AY82:AY85)</f>
        <v>0</v>
      </c>
      <c r="AZ86" s="52"/>
      <c r="BA86" s="52">
        <f>SUM(BA82:BA85)</f>
        <v>0</v>
      </c>
      <c r="BB86" s="52"/>
      <c r="BC86" s="52">
        <f t="shared" si="0"/>
        <v>6</v>
      </c>
      <c r="BD86" s="12"/>
    </row>
    <row r="87" spans="1:56" ht="18.75" customHeight="1">
      <c r="A87" s="18" t="s">
        <v>103</v>
      </c>
      <c r="B87" s="47"/>
      <c r="C87" s="12"/>
      <c r="D87" s="48" t="s">
        <v>122</v>
      </c>
      <c r="E87" s="48"/>
      <c r="F87" s="48"/>
      <c r="G87" s="48"/>
      <c r="H87" s="48"/>
      <c r="I87" s="48"/>
      <c r="J87" s="48"/>
      <c r="K87" s="12">
        <f>COUNTIF(K4:K80,"○")</f>
        <v>0</v>
      </c>
      <c r="L87" s="12"/>
      <c r="M87" s="12">
        <f>COUNTIF(M4:M80,"○")</f>
        <v>0</v>
      </c>
      <c r="N87" s="12"/>
      <c r="O87" s="12">
        <f>COUNTIF(O4:O80,"○")</f>
        <v>0</v>
      </c>
      <c r="P87" s="12"/>
      <c r="Q87" s="12">
        <f>COUNTIF(Q4:Q80,"○")</f>
        <v>0</v>
      </c>
      <c r="R87" s="12"/>
      <c r="S87" s="12">
        <f>COUNTIF(S4:S80,"○")</f>
        <v>0</v>
      </c>
      <c r="T87" s="12"/>
      <c r="U87" s="12">
        <f>COUNTIF(U4:U80,"○")</f>
        <v>0</v>
      </c>
      <c r="V87" s="12"/>
      <c r="W87" s="12">
        <f>COUNTIF(W4:W80,"○")</f>
        <v>0</v>
      </c>
      <c r="X87" s="12"/>
      <c r="Y87" s="12">
        <f>COUNTIF(Y4:Y80,"○")</f>
        <v>0</v>
      </c>
      <c r="Z87" s="12"/>
      <c r="AA87" s="12">
        <f>COUNTIF(AA4:AA80,"○")</f>
        <v>0</v>
      </c>
      <c r="AB87" s="12"/>
      <c r="AC87" s="12">
        <f>COUNTIF(AC4:AC80,"○")</f>
        <v>0</v>
      </c>
      <c r="AD87" s="12"/>
      <c r="AE87" s="12">
        <f>COUNTIF(AE4:AE80,"○")</f>
        <v>0</v>
      </c>
      <c r="AF87" s="12"/>
      <c r="AG87" s="12">
        <f>COUNTIF(AG4:AG80,"○")</f>
        <v>0</v>
      </c>
      <c r="AH87" s="12"/>
      <c r="AI87" s="12">
        <f>COUNTIF(AI4:AI80,"○")</f>
        <v>0</v>
      </c>
      <c r="AJ87" s="12"/>
      <c r="AK87" s="12">
        <f>COUNTIF(AK4:AK80,"○")</f>
        <v>0</v>
      </c>
      <c r="AL87" s="12"/>
      <c r="AM87" s="12">
        <f>COUNTIF(AM4:AM80,"○")</f>
        <v>0</v>
      </c>
      <c r="AN87" s="12"/>
      <c r="AO87" s="12">
        <f>COUNTIF(AO4:AO80,"○")</f>
        <v>0</v>
      </c>
      <c r="AP87" s="12"/>
      <c r="AQ87" s="12">
        <f>COUNTIF(AQ4:AQ80,"○")</f>
        <v>0</v>
      </c>
      <c r="AR87" s="12"/>
      <c r="AS87" s="12">
        <f>COUNTIF(AS4:AS80,"○")</f>
        <v>0</v>
      </c>
      <c r="AT87" s="12"/>
      <c r="AU87" s="12">
        <f>COUNTIF(AU4:AU80,"○")</f>
        <v>0</v>
      </c>
      <c r="AV87" s="12"/>
      <c r="AW87" s="12">
        <f>COUNTIF(AW4:AW80,"○")</f>
        <v>0</v>
      </c>
      <c r="AX87" s="12"/>
      <c r="AY87" s="12">
        <f>COUNTIF(AY4:AY80,"○")</f>
        <v>0</v>
      </c>
      <c r="AZ87" s="12"/>
      <c r="BA87" s="12">
        <f>COUNTIF(BA4:BA80,"○")</f>
        <v>0</v>
      </c>
      <c r="BB87" s="12"/>
      <c r="BC87" s="52">
        <f t="shared" si="0"/>
        <v>0</v>
      </c>
      <c r="BD87" s="12"/>
    </row>
    <row r="88" spans="1:56" ht="16.5" customHeight="1">
      <c r="A88" s="12"/>
      <c r="B88" s="47"/>
      <c r="C88" s="12"/>
      <c r="D88" s="53" t="s">
        <v>123</v>
      </c>
      <c r="E88" s="54"/>
      <c r="F88" s="54"/>
      <c r="G88" s="54"/>
      <c r="H88" s="54"/>
      <c r="I88" s="54"/>
      <c r="J88" s="54"/>
      <c r="K88" s="52">
        <f>SUM(K86:K87)</f>
        <v>4</v>
      </c>
      <c r="L88" s="52"/>
      <c r="M88" s="52">
        <f>SUM(M86:M87)</f>
        <v>2</v>
      </c>
      <c r="N88" s="52"/>
      <c r="O88" s="52">
        <f>SUM(O86:O87)</f>
        <v>0</v>
      </c>
      <c r="P88" s="52"/>
      <c r="Q88" s="52">
        <f>SUM(Q86:Q87)</f>
        <v>0</v>
      </c>
      <c r="R88" s="52"/>
      <c r="S88" s="52">
        <f>SUM(S86:S87)</f>
        <v>0</v>
      </c>
      <c r="T88" s="52"/>
      <c r="U88" s="52">
        <f>SUM(U86:U87)</f>
        <v>0</v>
      </c>
      <c r="V88" s="52"/>
      <c r="W88" s="52">
        <f>SUM(W86:W87)</f>
        <v>0</v>
      </c>
      <c r="X88" s="52"/>
      <c r="Y88" s="52">
        <f>SUM(Y86:Y87)</f>
        <v>0</v>
      </c>
      <c r="Z88" s="52"/>
      <c r="AA88" s="52">
        <f>SUM(AA86:AA87)</f>
        <v>0</v>
      </c>
      <c r="AB88" s="52"/>
      <c r="AC88" s="52">
        <f>SUM(AC86:AC87)</f>
        <v>0</v>
      </c>
      <c r="AD88" s="52"/>
      <c r="AE88" s="52">
        <f>SUM(AE86:AE87)</f>
        <v>0</v>
      </c>
      <c r="AF88" s="52"/>
      <c r="AG88" s="52">
        <f>SUM(AG86:AG87)</f>
        <v>0</v>
      </c>
      <c r="AH88" s="52"/>
      <c r="AI88" s="52">
        <f>SUM(AI86:AI87)</f>
        <v>0</v>
      </c>
      <c r="AJ88" s="52"/>
      <c r="AK88" s="52">
        <f>SUM(AK86:AK87)</f>
        <v>0</v>
      </c>
      <c r="AL88" s="52"/>
      <c r="AM88" s="52">
        <f>SUM(AM86:AM87)</f>
        <v>0</v>
      </c>
      <c r="AN88" s="52"/>
      <c r="AO88" s="52">
        <f>SUM(AO86:AO87)</f>
        <v>0</v>
      </c>
      <c r="AP88" s="52"/>
      <c r="AQ88" s="52">
        <f>SUM(AQ86:AQ87)</f>
        <v>0</v>
      </c>
      <c r="AR88" s="52"/>
      <c r="AS88" s="52">
        <f>SUM(AS86:AS87)</f>
        <v>0</v>
      </c>
      <c r="AT88" s="52"/>
      <c r="AU88" s="52">
        <f>SUM(AU86:AU87)</f>
        <v>0</v>
      </c>
      <c r="AV88" s="52"/>
      <c r="AW88" s="52">
        <f>SUM(AW86:AW87)</f>
        <v>0</v>
      </c>
      <c r="AX88" s="52"/>
      <c r="AY88" s="52">
        <f>SUM(AY86:AY87)</f>
        <v>0</v>
      </c>
      <c r="AZ88" s="52"/>
      <c r="BA88" s="52">
        <f>SUM(BA86:BA87)</f>
        <v>0</v>
      </c>
      <c r="BB88" s="52"/>
      <c r="BC88" s="52">
        <f t="shared" si="0"/>
        <v>6</v>
      </c>
      <c r="BD88" s="12"/>
    </row>
    <row r="89" spans="1:56" ht="15.75" customHeight="1">
      <c r="A89" s="12"/>
      <c r="B89" s="47"/>
      <c r="C89" s="12"/>
      <c r="D89" s="48"/>
      <c r="E89" s="48"/>
      <c r="F89" s="48"/>
      <c r="G89" s="48"/>
      <c r="H89" s="48"/>
      <c r="I89" s="48"/>
      <c r="J89" s="48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</row>
    <row r="90" spans="1:56" ht="12" customHeight="1">
      <c r="A90" s="12"/>
      <c r="B90" s="47"/>
      <c r="C90" s="12"/>
      <c r="D90" s="48"/>
      <c r="E90" s="48"/>
      <c r="F90" s="48"/>
      <c r="G90" s="48"/>
      <c r="H90" s="48"/>
      <c r="I90" s="48"/>
      <c r="J90" s="48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84"/>
      <c r="AV90" s="185"/>
      <c r="AW90" s="185"/>
      <c r="AX90" s="186"/>
      <c r="AY90" s="187" t="s">
        <v>124</v>
      </c>
      <c r="AZ90" s="188"/>
      <c r="BA90" s="188"/>
      <c r="BB90" s="188"/>
      <c r="BC90" s="55"/>
      <c r="BD90" s="12"/>
    </row>
    <row r="91" spans="1:56" ht="12" customHeight="1">
      <c r="A91" s="12"/>
      <c r="B91" s="47"/>
      <c r="C91" s="12"/>
      <c r="D91" s="48"/>
      <c r="E91" s="48"/>
      <c r="F91" s="48"/>
      <c r="G91" s="48"/>
      <c r="H91" s="48"/>
      <c r="I91" s="48"/>
      <c r="J91" s="48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85"/>
      <c r="AV91" s="185"/>
      <c r="AW91" s="185"/>
      <c r="AX91" s="186"/>
      <c r="AY91" s="189"/>
      <c r="AZ91" s="190"/>
      <c r="BA91" s="190"/>
      <c r="BB91" s="190"/>
      <c r="BC91" s="56">
        <f>BC82*200</f>
        <v>800</v>
      </c>
      <c r="BD91" s="12"/>
    </row>
    <row r="92" spans="1:56" ht="12" customHeight="1">
      <c r="A92" s="12"/>
      <c r="B92" s="47"/>
      <c r="C92" s="12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12"/>
      <c r="BD92" s="12"/>
    </row>
    <row r="93" spans="1:56" ht="12" customHeight="1">
      <c r="A93" s="12"/>
      <c r="B93" s="47"/>
      <c r="C93" s="12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12"/>
      <c r="BD93" s="12"/>
    </row>
    <row r="94" spans="1:56" ht="12" customHeight="1">
      <c r="A94" s="12"/>
      <c r="B94" s="47"/>
      <c r="C94" s="12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12"/>
      <c r="BD94" s="12"/>
    </row>
    <row r="95" spans="1:56" ht="12" customHeight="1">
      <c r="A95" s="12"/>
      <c r="B95" s="47"/>
      <c r="C95" s="12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12"/>
      <c r="BD95" s="12"/>
    </row>
    <row r="96" spans="1:56" ht="12" customHeight="1">
      <c r="A96" s="12"/>
      <c r="B96" s="47"/>
      <c r="C96" s="12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12"/>
      <c r="BD96" s="12"/>
    </row>
    <row r="97" spans="1:56" ht="12" customHeight="1">
      <c r="A97" s="12"/>
      <c r="B97" s="47"/>
      <c r="C97" s="12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12"/>
      <c r="BD97" s="12"/>
    </row>
    <row r="98" spans="1:56" ht="12" customHeight="1">
      <c r="A98" s="12"/>
      <c r="B98" s="47"/>
      <c r="C98" s="12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12"/>
      <c r="BD98" s="12"/>
    </row>
    <row r="99" spans="1:56" ht="12" customHeight="1">
      <c r="A99" s="12"/>
      <c r="B99" s="47"/>
      <c r="C99" s="12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12"/>
      <c r="BD99" s="12"/>
    </row>
    <row r="100" spans="1:56" ht="12" customHeight="1">
      <c r="A100" s="12"/>
      <c r="B100" s="47"/>
      <c r="C100" s="12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12"/>
      <c r="BD100" s="12"/>
    </row>
    <row r="101" spans="1:56" ht="12" customHeight="1">
      <c r="A101" s="12"/>
      <c r="B101" s="47"/>
      <c r="C101" s="12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12"/>
      <c r="BD101" s="12"/>
    </row>
    <row r="102" spans="1:56" ht="12" customHeight="1">
      <c r="A102" s="12"/>
      <c r="B102" s="47"/>
      <c r="C102" s="12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12"/>
      <c r="BD102" s="12"/>
    </row>
    <row r="103" spans="1:56" ht="12" customHeight="1">
      <c r="A103" s="12"/>
      <c r="B103" s="47"/>
      <c r="C103" s="12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12"/>
      <c r="BD103" s="12"/>
    </row>
    <row r="104" spans="1:56" ht="12" customHeight="1">
      <c r="A104" s="12"/>
      <c r="B104" s="47"/>
      <c r="C104" s="12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12"/>
      <c r="BD104" s="12"/>
    </row>
    <row r="105" spans="1:56" ht="12" customHeight="1">
      <c r="A105" s="12"/>
      <c r="B105" s="47"/>
      <c r="C105" s="12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12"/>
      <c r="BD105" s="12"/>
    </row>
    <row r="106" spans="1:56" ht="12" customHeight="1">
      <c r="A106" s="12"/>
      <c r="B106" s="47"/>
      <c r="C106" s="12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12"/>
      <c r="BD106" s="12"/>
    </row>
    <row r="107" spans="1:56" ht="12" customHeight="1">
      <c r="A107" s="12"/>
      <c r="B107" s="47"/>
      <c r="C107" s="12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12"/>
      <c r="BD107" s="12"/>
    </row>
    <row r="108" spans="1:56" ht="12" customHeight="1">
      <c r="A108" s="12"/>
      <c r="B108" s="47"/>
      <c r="C108" s="12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12"/>
      <c r="BD108" s="12"/>
    </row>
    <row r="109" spans="1:56" ht="12" customHeight="1">
      <c r="A109" s="12"/>
      <c r="B109" s="47"/>
      <c r="C109" s="12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12"/>
      <c r="BD109" s="12"/>
    </row>
    <row r="110" spans="1:56" ht="12" customHeight="1">
      <c r="A110" s="12"/>
      <c r="B110" s="47"/>
      <c r="C110" s="12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12"/>
      <c r="BD110" s="12"/>
    </row>
    <row r="111" spans="1:56" ht="12" customHeight="1">
      <c r="A111" s="12"/>
      <c r="B111" s="47"/>
      <c r="C111" s="12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12"/>
      <c r="BD111" s="12"/>
    </row>
    <row r="112" spans="1:56" ht="12" customHeight="1">
      <c r="A112" s="12"/>
      <c r="B112" s="47"/>
      <c r="C112" s="12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12"/>
      <c r="BD112" s="12"/>
    </row>
    <row r="113" spans="1:56" ht="12" customHeight="1">
      <c r="A113" s="12"/>
      <c r="B113" s="47"/>
      <c r="C113" s="12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12"/>
      <c r="BD113" s="12"/>
    </row>
    <row r="114" spans="1:56" ht="12" customHeight="1">
      <c r="A114" s="12"/>
      <c r="B114" s="47"/>
      <c r="C114" s="12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12"/>
      <c r="BD114" s="12"/>
    </row>
    <row r="115" spans="1:56" ht="12" customHeight="1">
      <c r="A115" s="12"/>
      <c r="B115" s="47"/>
      <c r="C115" s="12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12"/>
      <c r="BD115" s="12"/>
    </row>
    <row r="116" spans="1:56" ht="12" customHeight="1">
      <c r="A116" s="12"/>
      <c r="B116" s="47"/>
      <c r="C116" s="12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12"/>
      <c r="BD116" s="12"/>
    </row>
    <row r="117" spans="1:56" ht="12" customHeight="1">
      <c r="A117" s="12"/>
      <c r="B117" s="47"/>
      <c r="C117" s="12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12"/>
      <c r="BD117" s="12"/>
    </row>
    <row r="118" spans="1:56" ht="12" customHeight="1">
      <c r="A118" s="12"/>
      <c r="B118" s="47"/>
      <c r="C118" s="12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12"/>
      <c r="BD118" s="12"/>
    </row>
    <row r="119" spans="1:56" ht="12" customHeight="1">
      <c r="A119" s="12"/>
      <c r="B119" s="47"/>
      <c r="C119" s="12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12"/>
      <c r="BD119" s="12"/>
    </row>
    <row r="120" spans="1:56" ht="12" customHeight="1">
      <c r="A120" s="12"/>
      <c r="B120" s="47"/>
      <c r="C120" s="12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12"/>
      <c r="BD120" s="12"/>
    </row>
    <row r="121" spans="1:56" ht="12" customHeight="1">
      <c r="A121" s="12"/>
      <c r="B121" s="47"/>
      <c r="C121" s="12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12"/>
      <c r="BD121" s="12"/>
    </row>
    <row r="122" spans="1:56" ht="12" customHeight="1">
      <c r="A122" s="12"/>
      <c r="B122" s="47"/>
      <c r="C122" s="12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12"/>
      <c r="BD122" s="12"/>
    </row>
    <row r="123" spans="1:56" ht="12" customHeight="1">
      <c r="A123" s="12"/>
      <c r="B123" s="47"/>
      <c r="C123" s="12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12"/>
      <c r="BD123" s="12"/>
    </row>
    <row r="124" spans="1:56" ht="12" customHeight="1">
      <c r="A124" s="12"/>
      <c r="B124" s="47"/>
      <c r="C124" s="12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12"/>
      <c r="BD124" s="12"/>
    </row>
    <row r="125" spans="1:56" ht="12" customHeight="1">
      <c r="A125" s="12"/>
      <c r="B125" s="47"/>
      <c r="C125" s="12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12"/>
      <c r="BD125" s="12"/>
    </row>
    <row r="126" spans="1:56" ht="12" customHeight="1">
      <c r="A126" s="12"/>
      <c r="B126" s="47"/>
      <c r="C126" s="12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12"/>
      <c r="BD126" s="12"/>
    </row>
    <row r="127" spans="1:56" ht="12" customHeight="1">
      <c r="A127" s="12"/>
      <c r="B127" s="47"/>
      <c r="C127" s="12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12"/>
      <c r="BD127" s="12"/>
    </row>
    <row r="128" spans="1:56" ht="12" customHeight="1">
      <c r="A128" s="12"/>
      <c r="B128" s="47"/>
      <c r="C128" s="12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12"/>
      <c r="BD128" s="12"/>
    </row>
    <row r="129" spans="1:56" ht="12" customHeight="1">
      <c r="A129" s="12"/>
      <c r="B129" s="47"/>
      <c r="C129" s="12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12"/>
      <c r="BD129" s="12"/>
    </row>
    <row r="130" spans="1:56" ht="12" customHeight="1">
      <c r="A130" s="12"/>
      <c r="B130" s="47"/>
      <c r="C130" s="12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12"/>
      <c r="BD130" s="12"/>
    </row>
    <row r="131" spans="1:56" ht="12" customHeight="1">
      <c r="A131" s="12"/>
      <c r="B131" s="47"/>
      <c r="C131" s="12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12"/>
      <c r="BD131" s="12"/>
    </row>
    <row r="132" spans="1:56" ht="12" customHeight="1">
      <c r="A132" s="12"/>
      <c r="B132" s="47"/>
      <c r="C132" s="12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12"/>
      <c r="BD132" s="12"/>
    </row>
    <row r="133" spans="1:56" ht="12" customHeight="1">
      <c r="A133" s="12"/>
      <c r="B133" s="47"/>
      <c r="C133" s="12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12"/>
      <c r="BD133" s="12"/>
    </row>
    <row r="134" spans="1:56" ht="12" customHeight="1">
      <c r="A134" s="12"/>
      <c r="B134" s="47"/>
      <c r="C134" s="12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12"/>
      <c r="BD134" s="12"/>
    </row>
    <row r="135" spans="1:56" ht="12" customHeight="1">
      <c r="A135" s="12"/>
      <c r="B135" s="47"/>
      <c r="C135" s="12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12"/>
      <c r="BD135" s="12"/>
    </row>
    <row r="136" spans="1:56" ht="12" customHeight="1">
      <c r="A136" s="12"/>
      <c r="B136" s="47"/>
      <c r="C136" s="12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12"/>
      <c r="BD136" s="12"/>
    </row>
    <row r="137" spans="1:56" ht="12" customHeight="1">
      <c r="A137" s="12"/>
      <c r="B137" s="47"/>
      <c r="C137" s="12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12"/>
      <c r="BD137" s="12"/>
    </row>
    <row r="138" spans="1:56" ht="12" customHeight="1">
      <c r="A138" s="12"/>
      <c r="B138" s="47"/>
      <c r="C138" s="12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12"/>
      <c r="BD138" s="12"/>
    </row>
    <row r="139" spans="1:56" ht="12" customHeight="1">
      <c r="A139" s="12"/>
      <c r="B139" s="47"/>
      <c r="C139" s="12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12"/>
      <c r="BD139" s="12"/>
    </row>
    <row r="140" spans="1:56" ht="12" customHeight="1">
      <c r="A140" s="12"/>
      <c r="B140" s="47"/>
      <c r="C140" s="12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12"/>
      <c r="BD140" s="12"/>
    </row>
    <row r="141" spans="1:56" ht="12" customHeight="1">
      <c r="A141" s="12"/>
      <c r="B141" s="47"/>
      <c r="C141" s="12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12"/>
      <c r="BD141" s="12"/>
    </row>
    <row r="142" spans="1:56" ht="12" customHeight="1">
      <c r="A142" s="12"/>
      <c r="B142" s="47"/>
      <c r="C142" s="12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12"/>
      <c r="BD142" s="12"/>
    </row>
    <row r="143" spans="1:56" ht="12" customHeight="1">
      <c r="A143" s="12"/>
      <c r="B143" s="47"/>
      <c r="C143" s="12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12"/>
      <c r="BD143" s="12"/>
    </row>
    <row r="144" spans="1:56" ht="12" customHeight="1">
      <c r="A144" s="12"/>
      <c r="B144" s="47"/>
      <c r="C144" s="12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12"/>
      <c r="BD144" s="12"/>
    </row>
    <row r="145" spans="1:56" ht="12" customHeight="1">
      <c r="A145" s="12"/>
      <c r="B145" s="47"/>
      <c r="C145" s="12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12"/>
      <c r="BD145" s="12"/>
    </row>
    <row r="146" spans="1:56" ht="12" customHeight="1">
      <c r="A146" s="12"/>
      <c r="B146" s="47"/>
      <c r="C146" s="12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12"/>
      <c r="BD146" s="12"/>
    </row>
    <row r="147" spans="1:56" ht="12" customHeight="1">
      <c r="A147" s="12"/>
      <c r="B147" s="47"/>
      <c r="C147" s="12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12"/>
      <c r="BD147" s="12"/>
    </row>
    <row r="148" spans="1:56" ht="12" customHeight="1">
      <c r="A148" s="12"/>
      <c r="B148" s="47"/>
      <c r="C148" s="12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12"/>
      <c r="BD148" s="12"/>
    </row>
    <row r="149" spans="1:56" ht="12" customHeight="1">
      <c r="A149" s="12"/>
      <c r="B149" s="47"/>
      <c r="C149" s="12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12"/>
      <c r="BD149" s="12"/>
    </row>
    <row r="150" spans="1:56" ht="12" customHeight="1">
      <c r="A150" s="12"/>
      <c r="B150" s="47"/>
      <c r="C150" s="12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12"/>
      <c r="BD150" s="12"/>
    </row>
    <row r="151" spans="1:56" ht="12" customHeight="1">
      <c r="A151" s="12"/>
      <c r="B151" s="47"/>
      <c r="C151" s="12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12"/>
      <c r="BD151" s="12"/>
    </row>
    <row r="152" spans="1:56" ht="12" customHeight="1">
      <c r="A152" s="12"/>
      <c r="B152" s="47"/>
      <c r="C152" s="12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12"/>
      <c r="BD152" s="12"/>
    </row>
    <row r="153" spans="1:56" ht="12" customHeight="1">
      <c r="A153" s="12"/>
      <c r="B153" s="47"/>
      <c r="C153" s="12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12"/>
      <c r="BD153" s="12"/>
    </row>
    <row r="154" spans="1:56" ht="12" customHeight="1">
      <c r="A154" s="12"/>
      <c r="B154" s="47"/>
      <c r="C154" s="12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12"/>
      <c r="BD154" s="12"/>
    </row>
    <row r="155" spans="1:56" ht="12" customHeight="1">
      <c r="A155" s="12"/>
      <c r="B155" s="47"/>
      <c r="C155" s="12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12"/>
      <c r="BD155" s="12"/>
    </row>
    <row r="156" spans="1:56" ht="12" customHeight="1">
      <c r="A156" s="12"/>
      <c r="B156" s="47"/>
      <c r="C156" s="12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12"/>
      <c r="BD156" s="12"/>
    </row>
    <row r="157" spans="1:56" ht="12" customHeight="1">
      <c r="A157" s="12"/>
      <c r="B157" s="47"/>
      <c r="C157" s="12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12"/>
      <c r="BD157" s="12"/>
    </row>
    <row r="158" spans="1:56" ht="12" customHeight="1">
      <c r="A158" s="12"/>
      <c r="B158" s="47"/>
      <c r="C158" s="12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12"/>
      <c r="BD158" s="12"/>
    </row>
    <row r="159" spans="1:56" ht="12" customHeight="1">
      <c r="A159" s="12"/>
      <c r="B159" s="47"/>
      <c r="C159" s="12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12"/>
      <c r="BD159" s="12"/>
    </row>
    <row r="160" spans="1:56" ht="12" customHeight="1">
      <c r="A160" s="12"/>
      <c r="B160" s="47"/>
      <c r="C160" s="12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12"/>
      <c r="BD160" s="12"/>
    </row>
    <row r="161" spans="1:56" ht="12" customHeight="1">
      <c r="A161" s="12"/>
      <c r="B161" s="47"/>
      <c r="C161" s="12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12"/>
      <c r="BD161" s="12"/>
    </row>
    <row r="162" spans="1:56" ht="12" customHeight="1">
      <c r="A162" s="12"/>
      <c r="B162" s="47"/>
      <c r="C162" s="12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12"/>
      <c r="BD162" s="12"/>
    </row>
    <row r="163" spans="1:56" ht="12" customHeight="1">
      <c r="A163" s="12"/>
      <c r="B163" s="47"/>
      <c r="C163" s="12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12"/>
      <c r="BD163" s="12"/>
    </row>
    <row r="164" spans="1:56" ht="12" customHeight="1">
      <c r="A164" s="12"/>
      <c r="B164" s="47"/>
      <c r="C164" s="12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12"/>
      <c r="BD164" s="12"/>
    </row>
    <row r="165" spans="1:56" ht="12" customHeight="1">
      <c r="A165" s="12"/>
      <c r="B165" s="47"/>
      <c r="C165" s="12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12"/>
      <c r="BD165" s="12"/>
    </row>
    <row r="166" spans="1:56" ht="12" customHeight="1">
      <c r="A166" s="12"/>
      <c r="B166" s="47"/>
      <c r="C166" s="12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12"/>
      <c r="BD166" s="12"/>
    </row>
    <row r="167" spans="1:56" ht="12" customHeight="1">
      <c r="A167" s="12"/>
      <c r="B167" s="47"/>
      <c r="C167" s="12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12"/>
      <c r="BD167" s="12"/>
    </row>
    <row r="168" spans="1:56" ht="12" customHeight="1">
      <c r="A168" s="12"/>
      <c r="B168" s="47"/>
      <c r="C168" s="12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12"/>
      <c r="BD168" s="12"/>
    </row>
    <row r="169" spans="1:56" ht="12" customHeight="1">
      <c r="A169" s="12"/>
      <c r="B169" s="47"/>
      <c r="C169" s="12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12"/>
      <c r="BD169" s="12"/>
    </row>
    <row r="170" spans="1:56" ht="12" customHeight="1">
      <c r="A170" s="12"/>
      <c r="B170" s="47"/>
      <c r="C170" s="12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12"/>
      <c r="BD170" s="12"/>
    </row>
    <row r="171" spans="1:56" ht="12" customHeight="1">
      <c r="A171" s="12"/>
      <c r="B171" s="47"/>
      <c r="C171" s="12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12"/>
      <c r="BD171" s="12"/>
    </row>
    <row r="172" spans="1:56" ht="12" customHeight="1">
      <c r="A172" s="12"/>
      <c r="B172" s="47"/>
      <c r="C172" s="12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12"/>
      <c r="BD172" s="12"/>
    </row>
    <row r="173" spans="1:56" ht="12" customHeight="1">
      <c r="A173" s="12"/>
      <c r="B173" s="47"/>
      <c r="C173" s="12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12"/>
      <c r="BD173" s="12"/>
    </row>
    <row r="174" spans="1:56" ht="12" customHeight="1">
      <c r="A174" s="12"/>
      <c r="B174" s="47"/>
      <c r="C174" s="12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12"/>
      <c r="BD174" s="12"/>
    </row>
    <row r="175" spans="1:56" ht="12" customHeight="1">
      <c r="A175" s="12"/>
      <c r="B175" s="47"/>
      <c r="C175" s="12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12"/>
      <c r="BD175" s="12"/>
    </row>
    <row r="176" spans="1:56" ht="12" customHeight="1">
      <c r="A176" s="12"/>
      <c r="B176" s="47"/>
      <c r="C176" s="12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12"/>
      <c r="BD176" s="12"/>
    </row>
    <row r="177" spans="1:56" ht="12" customHeight="1">
      <c r="A177" s="12"/>
      <c r="B177" s="47"/>
      <c r="C177" s="12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12"/>
      <c r="BD177" s="12"/>
    </row>
    <row r="178" spans="1:56" ht="12" customHeight="1">
      <c r="A178" s="12"/>
      <c r="B178" s="47"/>
      <c r="C178" s="12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12"/>
      <c r="BD178" s="12"/>
    </row>
    <row r="179" spans="1:56" ht="12" customHeight="1">
      <c r="A179" s="12"/>
      <c r="B179" s="47"/>
      <c r="C179" s="12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12"/>
      <c r="BD179" s="12"/>
    </row>
    <row r="180" spans="1:56" ht="12" customHeight="1">
      <c r="A180" s="12"/>
      <c r="B180" s="47"/>
      <c r="C180" s="12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12"/>
      <c r="BD180" s="12"/>
    </row>
    <row r="181" spans="1:56" ht="12" customHeight="1">
      <c r="A181" s="12"/>
      <c r="B181" s="47"/>
      <c r="C181" s="12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12"/>
      <c r="BD181" s="12"/>
    </row>
    <row r="182" spans="1:56" ht="12" customHeight="1">
      <c r="A182" s="12"/>
      <c r="B182" s="47"/>
      <c r="C182" s="12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12"/>
      <c r="BD182" s="12"/>
    </row>
    <row r="183" spans="1:56" ht="12" customHeight="1">
      <c r="A183" s="12"/>
      <c r="B183" s="47"/>
      <c r="C183" s="12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12"/>
      <c r="BD183" s="12"/>
    </row>
    <row r="184" spans="1:56" ht="12" customHeight="1">
      <c r="A184" s="12"/>
      <c r="B184" s="47"/>
      <c r="C184" s="12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12"/>
      <c r="BD184" s="12"/>
    </row>
    <row r="185" spans="1:56" ht="12" customHeight="1">
      <c r="A185" s="12"/>
      <c r="B185" s="47"/>
      <c r="C185" s="12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12"/>
      <c r="BD185" s="12"/>
    </row>
    <row r="186" spans="1:56" ht="12" customHeight="1">
      <c r="A186" s="12"/>
      <c r="B186" s="47"/>
      <c r="C186" s="12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12"/>
      <c r="BD186" s="12"/>
    </row>
    <row r="187" spans="1:56" ht="12" customHeight="1">
      <c r="A187" s="12"/>
      <c r="B187" s="47"/>
      <c r="C187" s="12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12"/>
      <c r="BD187" s="12"/>
    </row>
    <row r="188" spans="1:56" ht="12" customHeight="1">
      <c r="A188" s="12"/>
      <c r="B188" s="47"/>
      <c r="C188" s="12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12"/>
      <c r="BD188" s="12"/>
    </row>
    <row r="189" spans="1:56" ht="12" customHeight="1">
      <c r="A189" s="12"/>
      <c r="B189" s="47"/>
      <c r="C189" s="12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12"/>
      <c r="BD189" s="12"/>
    </row>
    <row r="190" spans="1:56" ht="12" customHeight="1">
      <c r="A190" s="12"/>
      <c r="B190" s="47"/>
      <c r="C190" s="12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12"/>
      <c r="BD190" s="12"/>
    </row>
    <row r="191" spans="1:56" ht="12" customHeight="1">
      <c r="A191" s="12"/>
      <c r="B191" s="47"/>
      <c r="C191" s="12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12"/>
      <c r="BD191" s="12"/>
    </row>
    <row r="192" spans="1:56" ht="12" customHeight="1">
      <c r="A192" s="12"/>
      <c r="B192" s="47"/>
      <c r="C192" s="12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12"/>
      <c r="BD192" s="12"/>
    </row>
    <row r="193" spans="1:56" ht="12" customHeight="1">
      <c r="A193" s="12"/>
      <c r="B193" s="47"/>
      <c r="C193" s="12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12"/>
      <c r="BD193" s="12"/>
    </row>
    <row r="194" spans="1:56" ht="12" customHeight="1">
      <c r="A194" s="12"/>
      <c r="B194" s="47"/>
      <c r="C194" s="12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12"/>
      <c r="BD194" s="12"/>
    </row>
    <row r="195" spans="1:56" ht="12" customHeight="1">
      <c r="A195" s="12"/>
      <c r="B195" s="47"/>
      <c r="C195" s="12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12"/>
      <c r="BD195" s="12"/>
    </row>
    <row r="196" spans="1:56" ht="12" customHeight="1">
      <c r="A196" s="12"/>
      <c r="B196" s="47"/>
      <c r="C196" s="12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12"/>
      <c r="BD196" s="12"/>
    </row>
    <row r="197" spans="1:56" ht="12" customHeight="1">
      <c r="A197" s="12"/>
      <c r="B197" s="47"/>
      <c r="C197" s="12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12"/>
      <c r="BD197" s="12"/>
    </row>
    <row r="198" spans="1:56" ht="12" customHeight="1">
      <c r="A198" s="12"/>
      <c r="B198" s="47"/>
      <c r="C198" s="12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12"/>
      <c r="BD198" s="12"/>
    </row>
    <row r="199" spans="1:56" ht="12" customHeight="1">
      <c r="A199" s="12"/>
      <c r="B199" s="47"/>
      <c r="C199" s="12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12"/>
      <c r="BD199" s="12"/>
    </row>
    <row r="200" spans="1:56" ht="12" customHeight="1">
      <c r="A200" s="12"/>
      <c r="B200" s="47"/>
      <c r="C200" s="12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12"/>
      <c r="BD200" s="12"/>
    </row>
    <row r="201" spans="1:56" ht="12" customHeight="1">
      <c r="A201" s="12"/>
      <c r="B201" s="47"/>
      <c r="C201" s="12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12"/>
      <c r="BD201" s="12"/>
    </row>
    <row r="202" spans="1:56" ht="12" customHeight="1">
      <c r="A202" s="12"/>
      <c r="B202" s="47"/>
      <c r="C202" s="12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12"/>
      <c r="BD202" s="12"/>
    </row>
    <row r="203" spans="1:56" ht="12" customHeight="1">
      <c r="A203" s="12"/>
      <c r="B203" s="47"/>
      <c r="C203" s="12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12"/>
      <c r="BD203" s="12"/>
    </row>
    <row r="204" spans="1:56" ht="12" customHeight="1">
      <c r="A204" s="12"/>
      <c r="B204" s="47"/>
      <c r="C204" s="12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12"/>
      <c r="BD204" s="12"/>
    </row>
    <row r="205" spans="1:56" ht="12" customHeight="1">
      <c r="A205" s="12"/>
      <c r="B205" s="47"/>
      <c r="C205" s="12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12"/>
      <c r="BD205" s="12"/>
    </row>
    <row r="206" spans="1:56" ht="12" customHeight="1">
      <c r="A206" s="12"/>
      <c r="B206" s="47"/>
      <c r="C206" s="12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12"/>
      <c r="BD206" s="12"/>
    </row>
    <row r="207" spans="1:56" ht="12" customHeight="1">
      <c r="A207" s="12"/>
      <c r="B207" s="47"/>
      <c r="C207" s="12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12"/>
      <c r="BD207" s="12"/>
    </row>
    <row r="208" spans="1:56" ht="12" customHeight="1">
      <c r="A208" s="12"/>
      <c r="B208" s="47"/>
      <c r="C208" s="12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12"/>
      <c r="BD208" s="12"/>
    </row>
    <row r="209" spans="1:56" ht="12" customHeight="1">
      <c r="A209" s="12"/>
      <c r="B209" s="47"/>
      <c r="C209" s="12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12"/>
      <c r="BD209" s="12"/>
    </row>
    <row r="210" spans="1:56" ht="12" customHeight="1">
      <c r="A210" s="12"/>
      <c r="B210" s="47"/>
      <c r="C210" s="12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12"/>
      <c r="BD210" s="12"/>
    </row>
    <row r="211" spans="1:56" ht="12" customHeight="1">
      <c r="A211" s="12"/>
      <c r="B211" s="47"/>
      <c r="C211" s="12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12"/>
      <c r="BD211" s="12"/>
    </row>
    <row r="212" spans="1:56" ht="12" customHeight="1">
      <c r="A212" s="12"/>
      <c r="B212" s="47"/>
      <c r="C212" s="12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12"/>
      <c r="BD212" s="12"/>
    </row>
    <row r="213" spans="1:56" ht="12" customHeight="1">
      <c r="A213" s="12"/>
      <c r="B213" s="47"/>
      <c r="C213" s="12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12"/>
      <c r="BD213" s="12"/>
    </row>
    <row r="214" spans="1:56" ht="12" customHeight="1">
      <c r="A214" s="12"/>
      <c r="B214" s="47"/>
      <c r="C214" s="12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12"/>
      <c r="BD214" s="12"/>
    </row>
    <row r="215" spans="1:56" ht="12" customHeight="1">
      <c r="A215" s="12"/>
      <c r="B215" s="47"/>
      <c r="C215" s="12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12"/>
      <c r="BD215" s="12"/>
    </row>
    <row r="216" spans="1:56" ht="12" customHeight="1">
      <c r="A216" s="12"/>
      <c r="B216" s="47"/>
      <c r="C216" s="12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12"/>
      <c r="BD216" s="12"/>
    </row>
    <row r="217" spans="1:56" ht="12" customHeight="1">
      <c r="A217" s="12"/>
      <c r="B217" s="47"/>
      <c r="C217" s="12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12"/>
      <c r="BD217" s="12"/>
    </row>
    <row r="218" spans="1:56" ht="12" customHeight="1">
      <c r="A218" s="12"/>
      <c r="B218" s="47"/>
      <c r="C218" s="12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12"/>
      <c r="BD218" s="12"/>
    </row>
    <row r="219" spans="1:56" ht="12" customHeight="1">
      <c r="A219" s="12"/>
      <c r="B219" s="47"/>
      <c r="C219" s="12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12"/>
      <c r="BD219" s="12"/>
    </row>
    <row r="220" spans="1:56" ht="12" customHeight="1">
      <c r="A220" s="12"/>
      <c r="B220" s="47"/>
      <c r="C220" s="12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12"/>
      <c r="BD220" s="12"/>
    </row>
    <row r="221" spans="1:56" ht="12" customHeight="1">
      <c r="A221" s="12"/>
      <c r="B221" s="47"/>
      <c r="C221" s="12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12"/>
      <c r="BD221" s="12"/>
    </row>
    <row r="222" spans="1:56" ht="12" customHeight="1">
      <c r="A222" s="12"/>
      <c r="B222" s="47"/>
      <c r="C222" s="12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12"/>
      <c r="BD222" s="12"/>
    </row>
    <row r="223" spans="1:56" ht="12" customHeight="1">
      <c r="A223" s="12"/>
      <c r="B223" s="47"/>
      <c r="C223" s="12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12"/>
      <c r="BD223" s="12"/>
    </row>
    <row r="224" spans="1:56" ht="12" customHeight="1">
      <c r="A224" s="12"/>
      <c r="B224" s="47"/>
      <c r="C224" s="12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12"/>
      <c r="BD224" s="12"/>
    </row>
    <row r="225" spans="1:56" ht="12" customHeight="1">
      <c r="A225" s="12"/>
      <c r="B225" s="47"/>
      <c r="C225" s="12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12"/>
      <c r="BD225" s="12"/>
    </row>
    <row r="226" spans="1:56" ht="12" customHeight="1">
      <c r="A226" s="12"/>
      <c r="B226" s="47"/>
      <c r="C226" s="12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12"/>
      <c r="BD226" s="12"/>
    </row>
    <row r="227" spans="1:56" ht="12" customHeight="1">
      <c r="A227" s="12"/>
      <c r="B227" s="47"/>
      <c r="C227" s="12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12"/>
      <c r="BD227" s="12"/>
    </row>
    <row r="228" spans="1:56" ht="12" customHeight="1">
      <c r="A228" s="12"/>
      <c r="B228" s="47"/>
      <c r="C228" s="12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12"/>
      <c r="BD228" s="12"/>
    </row>
    <row r="229" spans="1:56" ht="12" customHeight="1">
      <c r="A229" s="12"/>
      <c r="B229" s="47"/>
      <c r="C229" s="12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12"/>
      <c r="BD229" s="12"/>
    </row>
    <row r="230" spans="1:56" ht="12" customHeight="1">
      <c r="A230" s="12"/>
      <c r="B230" s="47"/>
      <c r="C230" s="12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12"/>
      <c r="BD230" s="12"/>
    </row>
    <row r="231" spans="1:56" ht="12" customHeight="1">
      <c r="A231" s="12"/>
      <c r="B231" s="47"/>
      <c r="C231" s="12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12"/>
      <c r="BD231" s="12"/>
    </row>
    <row r="232" spans="1:56" ht="12" customHeight="1">
      <c r="A232" s="12"/>
      <c r="B232" s="47"/>
      <c r="C232" s="12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12"/>
      <c r="BD232" s="12"/>
    </row>
    <row r="233" spans="1:56" ht="12" customHeight="1">
      <c r="A233" s="12"/>
      <c r="B233" s="47"/>
      <c r="C233" s="12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12"/>
      <c r="BD233" s="12"/>
    </row>
    <row r="234" spans="1:56" ht="12" customHeight="1">
      <c r="A234" s="12"/>
      <c r="B234" s="47"/>
      <c r="C234" s="12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12"/>
      <c r="BD234" s="12"/>
    </row>
    <row r="235" spans="1:56" ht="12" customHeight="1">
      <c r="A235" s="12"/>
      <c r="B235" s="47"/>
      <c r="C235" s="12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12"/>
      <c r="BD235" s="12"/>
    </row>
    <row r="236" spans="1:56" ht="12" customHeight="1">
      <c r="A236" s="12"/>
      <c r="B236" s="47"/>
      <c r="C236" s="12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12"/>
      <c r="BD236" s="12"/>
    </row>
    <row r="237" spans="1:56" ht="12" customHeight="1">
      <c r="A237" s="12"/>
      <c r="B237" s="47"/>
      <c r="C237" s="12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12"/>
      <c r="BD237" s="12"/>
    </row>
    <row r="238" spans="1:56" ht="12" customHeight="1">
      <c r="A238" s="12"/>
      <c r="B238" s="47"/>
      <c r="C238" s="12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12"/>
      <c r="BD238" s="12"/>
    </row>
    <row r="239" spans="1:56" ht="12" customHeight="1">
      <c r="A239" s="12"/>
      <c r="B239" s="47"/>
      <c r="C239" s="12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12"/>
      <c r="BD239" s="12"/>
    </row>
    <row r="240" spans="1:56" ht="12" customHeight="1">
      <c r="A240" s="12"/>
      <c r="B240" s="47"/>
      <c r="C240" s="12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12"/>
      <c r="BD240" s="12"/>
    </row>
    <row r="241" spans="1:56" ht="12" customHeight="1">
      <c r="A241" s="12"/>
      <c r="B241" s="47"/>
      <c r="C241" s="12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12"/>
      <c r="BD241" s="12"/>
    </row>
    <row r="242" spans="1:56" ht="12" customHeight="1">
      <c r="A242" s="12"/>
      <c r="B242" s="47"/>
      <c r="C242" s="12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12"/>
      <c r="BD242" s="12"/>
    </row>
    <row r="243" spans="1:56" ht="12" customHeight="1">
      <c r="A243" s="12"/>
      <c r="B243" s="47"/>
      <c r="C243" s="12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12"/>
      <c r="BD243" s="12"/>
    </row>
    <row r="244" spans="1:56" ht="12" customHeight="1">
      <c r="A244" s="12"/>
      <c r="B244" s="47"/>
      <c r="C244" s="12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12"/>
      <c r="BD244" s="12"/>
    </row>
    <row r="245" spans="1:56" ht="12" customHeight="1">
      <c r="A245" s="12"/>
      <c r="B245" s="47"/>
      <c r="C245" s="12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12"/>
      <c r="BD245" s="12"/>
    </row>
    <row r="246" spans="1:56" ht="12" customHeight="1">
      <c r="A246" s="12"/>
      <c r="B246" s="47"/>
      <c r="C246" s="12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12"/>
      <c r="BD246" s="12"/>
    </row>
    <row r="247" spans="1:56" ht="12" customHeight="1">
      <c r="A247" s="12"/>
      <c r="B247" s="47"/>
      <c r="C247" s="12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12"/>
      <c r="BD247" s="12"/>
    </row>
    <row r="248" spans="1:56" ht="12" customHeight="1">
      <c r="A248" s="12"/>
      <c r="B248" s="47"/>
      <c r="C248" s="12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12"/>
      <c r="BD248" s="12"/>
    </row>
    <row r="249" spans="1:56" ht="12" customHeight="1">
      <c r="A249" s="12"/>
      <c r="B249" s="47"/>
      <c r="C249" s="12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12"/>
      <c r="BD249" s="12"/>
    </row>
    <row r="250" spans="1:56" ht="12" customHeight="1">
      <c r="A250" s="12"/>
      <c r="B250" s="47"/>
      <c r="C250" s="12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12"/>
      <c r="BD250" s="12"/>
    </row>
    <row r="251" spans="1:56" ht="12" customHeight="1">
      <c r="A251" s="12"/>
      <c r="B251" s="47"/>
      <c r="C251" s="12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12"/>
      <c r="BD251" s="12"/>
    </row>
    <row r="252" spans="1:56" ht="12" customHeight="1">
      <c r="A252" s="12"/>
      <c r="B252" s="47"/>
      <c r="C252" s="12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12"/>
      <c r="BD252" s="12"/>
    </row>
    <row r="253" spans="1:56" ht="12" customHeight="1">
      <c r="A253" s="12"/>
      <c r="B253" s="47"/>
      <c r="C253" s="12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12"/>
      <c r="BD253" s="12"/>
    </row>
    <row r="254" spans="1:56" ht="12" customHeight="1">
      <c r="A254" s="12"/>
      <c r="B254" s="47"/>
      <c r="C254" s="12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12"/>
      <c r="BD254" s="12"/>
    </row>
    <row r="255" spans="1:56" ht="12" customHeight="1">
      <c r="A255" s="12"/>
      <c r="B255" s="47"/>
      <c r="C255" s="12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12"/>
      <c r="BD255" s="12"/>
    </row>
    <row r="256" spans="1:56" ht="12" customHeight="1">
      <c r="A256" s="12"/>
      <c r="B256" s="47"/>
      <c r="C256" s="12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12"/>
      <c r="BD256" s="12"/>
    </row>
    <row r="257" spans="1:56" ht="12" customHeight="1">
      <c r="A257" s="12"/>
      <c r="B257" s="47"/>
      <c r="C257" s="12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12"/>
      <c r="BD257" s="12"/>
    </row>
    <row r="258" spans="1:56" ht="12" customHeight="1">
      <c r="A258" s="12"/>
      <c r="B258" s="47"/>
      <c r="C258" s="12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12"/>
      <c r="BD258" s="12"/>
    </row>
    <row r="259" spans="1:56" ht="12" customHeight="1">
      <c r="A259" s="12"/>
      <c r="B259" s="47"/>
      <c r="C259" s="12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12"/>
      <c r="BD259" s="12"/>
    </row>
    <row r="260" spans="1:56" ht="12" customHeight="1">
      <c r="A260" s="12"/>
      <c r="B260" s="47"/>
      <c r="C260" s="12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12"/>
      <c r="BD260" s="12"/>
    </row>
    <row r="261" spans="1:56" ht="12" customHeight="1">
      <c r="A261" s="12"/>
      <c r="B261" s="47"/>
      <c r="C261" s="12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12"/>
      <c r="BD261" s="12"/>
    </row>
    <row r="262" spans="1:56" ht="12" customHeight="1">
      <c r="A262" s="12"/>
      <c r="B262" s="47"/>
      <c r="C262" s="12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12"/>
      <c r="BD262" s="12"/>
    </row>
    <row r="263" spans="1:56" ht="12" customHeight="1">
      <c r="A263" s="12"/>
      <c r="B263" s="47"/>
      <c r="C263" s="12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12"/>
      <c r="BD263" s="12"/>
    </row>
    <row r="264" spans="1:56" ht="12" customHeight="1">
      <c r="A264" s="12"/>
      <c r="B264" s="47"/>
      <c r="C264" s="12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12"/>
      <c r="BD264" s="12"/>
    </row>
    <row r="265" spans="1:56" ht="12" customHeight="1">
      <c r="A265" s="12"/>
      <c r="B265" s="47"/>
      <c r="C265" s="12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12"/>
      <c r="BD265" s="12"/>
    </row>
    <row r="266" spans="1:56" ht="12" customHeight="1">
      <c r="A266" s="12"/>
      <c r="B266" s="47"/>
      <c r="C266" s="12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12"/>
      <c r="BD266" s="12"/>
    </row>
    <row r="267" spans="1:56" ht="12" customHeight="1">
      <c r="A267" s="12"/>
      <c r="B267" s="47"/>
      <c r="C267" s="12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12"/>
      <c r="BD267" s="12"/>
    </row>
    <row r="268" spans="1:56" ht="12" customHeight="1">
      <c r="A268" s="12"/>
      <c r="B268" s="47"/>
      <c r="C268" s="12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12"/>
      <c r="BD268" s="12"/>
    </row>
    <row r="269" spans="1:56" ht="12" customHeight="1">
      <c r="A269" s="12"/>
      <c r="B269" s="47"/>
      <c r="C269" s="12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12"/>
      <c r="BD269" s="12"/>
    </row>
    <row r="270" spans="1:56" ht="12" customHeight="1">
      <c r="A270" s="12"/>
      <c r="B270" s="47"/>
      <c r="C270" s="12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12"/>
      <c r="BD270" s="12"/>
    </row>
    <row r="271" spans="1:56" ht="12" customHeight="1">
      <c r="A271" s="12"/>
      <c r="B271" s="47"/>
      <c r="C271" s="12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12"/>
      <c r="BD271" s="12"/>
    </row>
    <row r="272" spans="1:56" ht="12" customHeight="1">
      <c r="A272" s="12"/>
      <c r="B272" s="47"/>
      <c r="C272" s="12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12"/>
      <c r="BD272" s="12"/>
    </row>
    <row r="273" spans="1:56" ht="12" customHeight="1">
      <c r="A273" s="12"/>
      <c r="B273" s="47"/>
      <c r="C273" s="12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12"/>
      <c r="BD273" s="12"/>
    </row>
    <row r="274" spans="1:56" ht="12" customHeight="1">
      <c r="A274" s="12"/>
      <c r="B274" s="47"/>
      <c r="C274" s="12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12"/>
      <c r="BD274" s="12"/>
    </row>
    <row r="275" spans="1:56" ht="12" customHeight="1">
      <c r="A275" s="12"/>
      <c r="B275" s="47"/>
      <c r="C275" s="12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12"/>
      <c r="BD275" s="12"/>
    </row>
    <row r="276" spans="1:56" ht="12" customHeight="1">
      <c r="A276" s="12"/>
      <c r="B276" s="47"/>
      <c r="C276" s="12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12"/>
      <c r="BD276" s="12"/>
    </row>
    <row r="277" spans="1:56" ht="12" customHeight="1">
      <c r="A277" s="12"/>
      <c r="B277" s="47"/>
      <c r="C277" s="12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12"/>
      <c r="BD277" s="12"/>
    </row>
    <row r="278" spans="1:56" ht="12" customHeight="1">
      <c r="A278" s="12"/>
      <c r="B278" s="47"/>
      <c r="C278" s="12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12"/>
      <c r="BD278" s="12"/>
    </row>
    <row r="279" spans="1:56" ht="12" customHeight="1">
      <c r="A279" s="12"/>
      <c r="B279" s="47"/>
      <c r="C279" s="12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12"/>
      <c r="BD279" s="12"/>
    </row>
    <row r="280" spans="1:56" ht="12" customHeight="1">
      <c r="A280" s="12"/>
      <c r="B280" s="47"/>
      <c r="C280" s="12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12"/>
      <c r="BD280" s="12"/>
    </row>
    <row r="281" spans="1:56" ht="12" customHeight="1">
      <c r="A281" s="12"/>
      <c r="B281" s="47"/>
      <c r="C281" s="12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12"/>
      <c r="BD281" s="12"/>
    </row>
    <row r="282" spans="1:56" ht="12" customHeight="1">
      <c r="A282" s="12"/>
      <c r="B282" s="47"/>
      <c r="C282" s="12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12"/>
      <c r="BD282" s="12"/>
    </row>
    <row r="283" spans="1:56" ht="12" customHeight="1">
      <c r="A283" s="12"/>
      <c r="B283" s="47"/>
      <c r="C283" s="12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12"/>
      <c r="BD283" s="12"/>
    </row>
    <row r="284" spans="1:56" ht="12" customHeight="1">
      <c r="A284" s="12"/>
      <c r="B284" s="47"/>
      <c r="C284" s="12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12"/>
      <c r="BD284" s="12"/>
    </row>
    <row r="285" spans="1:56" ht="12" customHeight="1">
      <c r="A285" s="12"/>
      <c r="B285" s="47"/>
      <c r="C285" s="12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12"/>
      <c r="BD285" s="12"/>
    </row>
    <row r="286" spans="1:56" ht="12" customHeight="1">
      <c r="A286" s="12"/>
      <c r="B286" s="47"/>
      <c r="C286" s="12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12"/>
      <c r="BD286" s="12"/>
    </row>
    <row r="287" spans="1:56" ht="12" customHeight="1">
      <c r="A287" s="12"/>
      <c r="B287" s="47"/>
      <c r="C287" s="12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12"/>
      <c r="BD287" s="12"/>
    </row>
    <row r="288" spans="1:56" ht="12" customHeight="1">
      <c r="A288" s="12"/>
      <c r="B288" s="47"/>
      <c r="C288" s="12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12"/>
      <c r="BD288" s="12"/>
    </row>
    <row r="289" spans="1:56" ht="12" customHeight="1">
      <c r="A289" s="12"/>
      <c r="B289" s="47"/>
      <c r="C289" s="12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12"/>
      <c r="BD289" s="12"/>
    </row>
    <row r="290" spans="1:56" ht="12" customHeight="1">
      <c r="A290" s="12"/>
      <c r="B290" s="47"/>
      <c r="C290" s="12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12"/>
      <c r="BD290" s="12"/>
    </row>
    <row r="291" spans="1:56" ht="12" customHeight="1">
      <c r="A291" s="12"/>
      <c r="B291" s="47"/>
      <c r="C291" s="12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12"/>
      <c r="BD291" s="12"/>
    </row>
    <row r="292" spans="1:56" ht="12" customHeight="1">
      <c r="A292" s="12"/>
      <c r="B292" s="47"/>
      <c r="C292" s="12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12"/>
      <c r="BD292" s="12"/>
    </row>
    <row r="293" spans="1:56" ht="12" customHeight="1">
      <c r="A293" s="12"/>
      <c r="B293" s="47"/>
      <c r="C293" s="12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12"/>
      <c r="BD293" s="12"/>
    </row>
    <row r="294" spans="1:56" ht="12" customHeight="1">
      <c r="A294" s="12"/>
      <c r="B294" s="47"/>
      <c r="C294" s="12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12"/>
      <c r="BD294" s="12"/>
    </row>
    <row r="295" spans="1:56" ht="12" customHeight="1">
      <c r="A295" s="12"/>
      <c r="B295" s="47"/>
      <c r="C295" s="12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12"/>
      <c r="BD295" s="12"/>
    </row>
    <row r="296" spans="1:56" ht="12" customHeight="1">
      <c r="A296" s="12"/>
      <c r="B296" s="47"/>
      <c r="C296" s="12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12"/>
      <c r="BD296" s="12"/>
    </row>
    <row r="297" spans="1:56" ht="12" customHeight="1">
      <c r="A297" s="12"/>
      <c r="B297" s="47"/>
      <c r="C297" s="12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12"/>
      <c r="BD297" s="12"/>
    </row>
    <row r="298" spans="1:56" ht="12" customHeight="1">
      <c r="A298" s="12"/>
      <c r="B298" s="47"/>
      <c r="C298" s="12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12"/>
      <c r="BD298" s="12"/>
    </row>
    <row r="299" spans="1:56" ht="12" customHeight="1">
      <c r="A299" s="12"/>
      <c r="B299" s="47"/>
      <c r="C299" s="12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12"/>
      <c r="BD299" s="12"/>
    </row>
    <row r="300" spans="1:56" ht="12" customHeight="1">
      <c r="A300" s="12"/>
      <c r="B300" s="47"/>
      <c r="C300" s="12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12"/>
      <c r="BD300" s="12"/>
    </row>
    <row r="301" spans="1:56" ht="12" customHeight="1">
      <c r="A301" s="12"/>
      <c r="B301" s="47"/>
      <c r="C301" s="12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12"/>
      <c r="BD301" s="12"/>
    </row>
    <row r="302" spans="1:56" ht="12" customHeight="1">
      <c r="A302" s="12"/>
      <c r="B302" s="47"/>
      <c r="C302" s="12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12"/>
      <c r="BD302" s="12"/>
    </row>
    <row r="303" spans="1:56" ht="12" customHeight="1">
      <c r="A303" s="12"/>
      <c r="B303" s="47"/>
      <c r="C303" s="12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12"/>
      <c r="BD303" s="12"/>
    </row>
    <row r="304" spans="1:56" ht="12" customHeight="1">
      <c r="A304" s="12"/>
      <c r="B304" s="47"/>
      <c r="C304" s="12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12"/>
      <c r="BD304" s="12"/>
    </row>
    <row r="305" spans="1:56" ht="12" customHeight="1">
      <c r="A305" s="12"/>
      <c r="B305" s="47"/>
      <c r="C305" s="12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12"/>
      <c r="BD305" s="12"/>
    </row>
    <row r="306" spans="1:56" ht="12" customHeight="1">
      <c r="A306" s="12"/>
      <c r="B306" s="47"/>
      <c r="C306" s="12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12"/>
      <c r="BD306" s="12"/>
    </row>
    <row r="307" spans="1:56" ht="12" customHeight="1">
      <c r="A307" s="12"/>
      <c r="B307" s="47"/>
      <c r="C307" s="12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12"/>
      <c r="BD307" s="12"/>
    </row>
    <row r="308" spans="1:56" ht="12" customHeight="1">
      <c r="A308" s="12"/>
      <c r="B308" s="47"/>
      <c r="C308" s="12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12"/>
      <c r="BD308" s="12"/>
    </row>
    <row r="309" spans="1:56" ht="12" customHeight="1">
      <c r="A309" s="12"/>
      <c r="B309" s="47"/>
      <c r="C309" s="12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12"/>
      <c r="BD309" s="12"/>
    </row>
    <row r="310" spans="1:56" ht="12" customHeight="1">
      <c r="A310" s="12"/>
      <c r="B310" s="47"/>
      <c r="C310" s="12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12"/>
      <c r="BD310" s="12"/>
    </row>
    <row r="311" spans="1:56" ht="12" customHeight="1">
      <c r="A311" s="12"/>
      <c r="B311" s="47"/>
      <c r="C311" s="12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12"/>
      <c r="BD311" s="12"/>
    </row>
    <row r="312" spans="1:56" ht="12" customHeight="1">
      <c r="A312" s="12"/>
      <c r="B312" s="47"/>
      <c r="C312" s="12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12"/>
      <c r="BD312" s="12"/>
    </row>
    <row r="313" spans="1:56" ht="12" customHeight="1">
      <c r="A313" s="12"/>
      <c r="B313" s="47"/>
      <c r="C313" s="12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12"/>
      <c r="BD313" s="12"/>
    </row>
    <row r="314" spans="1:56" ht="12" customHeight="1">
      <c r="A314" s="12"/>
      <c r="B314" s="47"/>
      <c r="C314" s="12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12"/>
      <c r="BD314" s="12"/>
    </row>
    <row r="315" spans="1:56" ht="12" customHeight="1">
      <c r="A315" s="12"/>
      <c r="B315" s="47"/>
      <c r="C315" s="12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12"/>
      <c r="BD315" s="12"/>
    </row>
    <row r="316" spans="1:56" ht="12" customHeight="1">
      <c r="A316" s="12"/>
      <c r="B316" s="47"/>
      <c r="C316" s="12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12"/>
      <c r="BD316" s="12"/>
    </row>
    <row r="317" spans="1:56" ht="12" customHeight="1">
      <c r="A317" s="12"/>
      <c r="B317" s="47"/>
      <c r="C317" s="12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12"/>
      <c r="BD317" s="12"/>
    </row>
    <row r="318" spans="1:56" ht="12" customHeight="1">
      <c r="A318" s="12"/>
      <c r="B318" s="47"/>
      <c r="C318" s="12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12"/>
      <c r="BD318" s="12"/>
    </row>
    <row r="319" spans="1:56" ht="12" customHeight="1">
      <c r="A319" s="12"/>
      <c r="B319" s="47"/>
      <c r="C319" s="12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12"/>
      <c r="BD319" s="12"/>
    </row>
    <row r="320" spans="1:56" ht="12" customHeight="1">
      <c r="A320" s="12"/>
      <c r="B320" s="47"/>
      <c r="C320" s="12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12"/>
      <c r="BD320" s="12"/>
    </row>
    <row r="321" spans="1:56" ht="12" customHeight="1">
      <c r="A321" s="12"/>
      <c r="B321" s="47"/>
      <c r="C321" s="12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12"/>
      <c r="BD321" s="12"/>
    </row>
    <row r="322" spans="1:56" ht="12" customHeight="1">
      <c r="A322" s="12"/>
      <c r="B322" s="47"/>
      <c r="C322" s="12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12"/>
      <c r="BD322" s="12"/>
    </row>
    <row r="323" spans="1:56" ht="12" customHeight="1">
      <c r="A323" s="12"/>
      <c r="B323" s="47"/>
      <c r="C323" s="12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12"/>
      <c r="BD323" s="12"/>
    </row>
    <row r="324" spans="1:56" ht="12" customHeight="1">
      <c r="A324" s="12"/>
      <c r="B324" s="47"/>
      <c r="C324" s="12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12"/>
      <c r="BD324" s="12"/>
    </row>
    <row r="325" spans="1:56" ht="12" customHeight="1">
      <c r="A325" s="12"/>
      <c r="B325" s="47"/>
      <c r="C325" s="12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12"/>
      <c r="BD325" s="12"/>
    </row>
    <row r="326" spans="1:56" ht="12" customHeight="1">
      <c r="A326" s="12"/>
      <c r="B326" s="47"/>
      <c r="C326" s="12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12"/>
      <c r="BD326" s="12"/>
    </row>
    <row r="327" spans="1:56" ht="12" customHeight="1">
      <c r="A327" s="12"/>
      <c r="B327" s="47"/>
      <c r="C327" s="12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12"/>
      <c r="BD327" s="12"/>
    </row>
    <row r="328" spans="1:56" ht="12" customHeight="1">
      <c r="A328" s="12"/>
      <c r="B328" s="47"/>
      <c r="C328" s="12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12"/>
      <c r="BD328" s="12"/>
    </row>
    <row r="329" spans="1:56" ht="12" customHeight="1">
      <c r="A329" s="12"/>
      <c r="B329" s="47"/>
      <c r="C329" s="12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12"/>
      <c r="BD329" s="12"/>
    </row>
    <row r="330" spans="1:56" ht="12" customHeight="1">
      <c r="A330" s="12"/>
      <c r="B330" s="47"/>
      <c r="C330" s="12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12"/>
      <c r="BD330" s="12"/>
    </row>
    <row r="331" spans="1:56" ht="12" customHeight="1">
      <c r="A331" s="12"/>
      <c r="B331" s="47"/>
      <c r="C331" s="12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12"/>
      <c r="BD331" s="12"/>
    </row>
    <row r="332" spans="1:56" ht="12" customHeight="1">
      <c r="A332" s="12"/>
      <c r="B332" s="47"/>
      <c r="C332" s="12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12"/>
      <c r="BD332" s="12"/>
    </row>
    <row r="333" spans="1:56" ht="12" customHeight="1">
      <c r="A333" s="12"/>
      <c r="B333" s="47"/>
      <c r="C333" s="12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12"/>
      <c r="BD333" s="12"/>
    </row>
    <row r="334" spans="1:56" ht="12" customHeight="1">
      <c r="A334" s="12"/>
      <c r="B334" s="47"/>
      <c r="C334" s="12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12"/>
      <c r="BD334" s="12"/>
    </row>
    <row r="335" spans="1:56" ht="12" customHeight="1">
      <c r="A335" s="12"/>
      <c r="B335" s="47"/>
      <c r="C335" s="12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12"/>
      <c r="BD335" s="12"/>
    </row>
    <row r="336" spans="1:56" ht="12" customHeight="1">
      <c r="A336" s="12"/>
      <c r="B336" s="47"/>
      <c r="C336" s="12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12"/>
      <c r="BD336" s="12"/>
    </row>
    <row r="337" spans="1:56" ht="12" customHeight="1">
      <c r="A337" s="12"/>
      <c r="B337" s="47"/>
      <c r="C337" s="12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12"/>
      <c r="BD337" s="12"/>
    </row>
    <row r="338" spans="1:56" ht="12" customHeight="1">
      <c r="A338" s="12"/>
      <c r="B338" s="47"/>
      <c r="C338" s="12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12"/>
      <c r="BD338" s="12"/>
    </row>
    <row r="339" spans="1:56" ht="12" customHeight="1">
      <c r="A339" s="12"/>
      <c r="B339" s="47"/>
      <c r="C339" s="12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12"/>
      <c r="BD339" s="12"/>
    </row>
    <row r="340" spans="1:56" ht="12" customHeight="1">
      <c r="A340" s="12"/>
      <c r="B340" s="47"/>
      <c r="C340" s="12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12"/>
      <c r="BD340" s="12"/>
    </row>
    <row r="341" spans="1:56" ht="12" customHeight="1">
      <c r="A341" s="12"/>
      <c r="B341" s="47"/>
      <c r="C341" s="12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12"/>
      <c r="BD341" s="12"/>
    </row>
    <row r="342" spans="1:56" ht="12" customHeight="1">
      <c r="A342" s="12"/>
      <c r="B342" s="47"/>
      <c r="C342" s="12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12"/>
      <c r="BD342" s="12"/>
    </row>
    <row r="343" spans="1:56" ht="12" customHeight="1">
      <c r="A343" s="12"/>
      <c r="B343" s="47"/>
      <c r="C343" s="12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12"/>
      <c r="BD343" s="12"/>
    </row>
    <row r="344" spans="1:56" ht="12" customHeight="1">
      <c r="A344" s="12"/>
      <c r="B344" s="47"/>
      <c r="C344" s="12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12"/>
      <c r="BD344" s="12"/>
    </row>
    <row r="345" spans="1:56" ht="12" customHeight="1">
      <c r="A345" s="12"/>
      <c r="B345" s="47"/>
      <c r="C345" s="12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12"/>
      <c r="BD345" s="12"/>
    </row>
    <row r="346" spans="1:56" ht="12" customHeight="1">
      <c r="A346" s="12"/>
      <c r="B346" s="47"/>
      <c r="C346" s="12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12"/>
      <c r="BD346" s="12"/>
    </row>
    <row r="347" spans="1:56" ht="12" customHeight="1">
      <c r="A347" s="12"/>
      <c r="B347" s="47"/>
      <c r="C347" s="12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12"/>
      <c r="BD347" s="12"/>
    </row>
    <row r="348" spans="1:56" ht="12" customHeight="1">
      <c r="A348" s="12"/>
      <c r="B348" s="47"/>
      <c r="C348" s="12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12"/>
      <c r="BD348" s="12"/>
    </row>
    <row r="349" spans="1:56" ht="12" customHeight="1">
      <c r="A349" s="12"/>
      <c r="B349" s="47"/>
      <c r="C349" s="12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12"/>
      <c r="BD349" s="12"/>
    </row>
    <row r="350" spans="1:56" ht="12" customHeight="1">
      <c r="A350" s="12"/>
      <c r="B350" s="47"/>
      <c r="C350" s="12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12"/>
      <c r="BD350" s="12"/>
    </row>
    <row r="351" spans="1:56" ht="12" customHeight="1">
      <c r="A351" s="12"/>
      <c r="B351" s="47"/>
      <c r="C351" s="12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12"/>
      <c r="BD351" s="12"/>
    </row>
    <row r="352" spans="1:56" ht="12" customHeight="1">
      <c r="A352" s="12"/>
      <c r="B352" s="47"/>
      <c r="C352" s="12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12"/>
      <c r="BD352" s="12"/>
    </row>
    <row r="353" spans="1:56" ht="12" customHeight="1">
      <c r="A353" s="12"/>
      <c r="B353" s="47"/>
      <c r="C353" s="12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12"/>
      <c r="BD353" s="12"/>
    </row>
    <row r="354" spans="1:56" ht="12" customHeight="1">
      <c r="A354" s="12"/>
      <c r="B354" s="47"/>
      <c r="C354" s="12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12"/>
      <c r="BD354" s="12"/>
    </row>
    <row r="355" spans="1:56" ht="12" customHeight="1">
      <c r="A355" s="12"/>
      <c r="B355" s="47"/>
      <c r="C355" s="12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12"/>
      <c r="BD355" s="12"/>
    </row>
    <row r="356" spans="1:56" ht="12" customHeight="1">
      <c r="A356" s="12"/>
      <c r="B356" s="47"/>
      <c r="C356" s="12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12"/>
      <c r="BD356" s="12"/>
    </row>
    <row r="357" spans="1:56" ht="12" customHeight="1">
      <c r="A357" s="12"/>
      <c r="B357" s="47"/>
      <c r="C357" s="12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12"/>
      <c r="BD357" s="12"/>
    </row>
    <row r="358" spans="1:56" ht="12" customHeight="1">
      <c r="A358" s="12"/>
      <c r="B358" s="47"/>
      <c r="C358" s="12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12"/>
      <c r="BD358" s="12"/>
    </row>
    <row r="359" spans="1:56" ht="12" customHeight="1">
      <c r="A359" s="12"/>
      <c r="B359" s="47"/>
      <c r="C359" s="12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12"/>
      <c r="BD359" s="12"/>
    </row>
    <row r="360" spans="1:56" ht="12" customHeight="1">
      <c r="A360" s="12"/>
      <c r="B360" s="47"/>
      <c r="C360" s="12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12"/>
      <c r="BD360" s="12"/>
    </row>
    <row r="361" spans="1:56" ht="12" customHeight="1">
      <c r="A361" s="12"/>
      <c r="B361" s="47"/>
      <c r="C361" s="12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12"/>
      <c r="BD361" s="12"/>
    </row>
    <row r="362" spans="1:56" ht="12" customHeight="1">
      <c r="A362" s="12"/>
      <c r="B362" s="47"/>
      <c r="C362" s="12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12"/>
      <c r="BD362" s="12"/>
    </row>
    <row r="363" spans="1:56" ht="12" customHeight="1">
      <c r="A363" s="12"/>
      <c r="B363" s="47"/>
      <c r="C363" s="12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12"/>
      <c r="BD363" s="12"/>
    </row>
    <row r="364" spans="1:56" ht="12" customHeight="1">
      <c r="A364" s="12"/>
      <c r="B364" s="47"/>
      <c r="C364" s="12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12"/>
      <c r="BD364" s="12"/>
    </row>
    <row r="365" spans="1:56" ht="12" customHeight="1">
      <c r="A365" s="12"/>
      <c r="B365" s="47"/>
      <c r="C365" s="12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12"/>
      <c r="BD365" s="12"/>
    </row>
    <row r="366" spans="1:56" ht="12" customHeight="1">
      <c r="A366" s="12"/>
      <c r="B366" s="47"/>
      <c r="C366" s="12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12"/>
      <c r="BD366" s="12"/>
    </row>
    <row r="367" spans="1:56" ht="12" customHeight="1">
      <c r="A367" s="12"/>
      <c r="B367" s="47"/>
      <c r="C367" s="12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12"/>
      <c r="BD367" s="12"/>
    </row>
    <row r="368" spans="1:56" ht="12" customHeight="1">
      <c r="A368" s="12"/>
      <c r="B368" s="47"/>
      <c r="C368" s="12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12"/>
      <c r="BD368" s="12"/>
    </row>
    <row r="369" spans="1:56" ht="12" customHeight="1">
      <c r="A369" s="12"/>
      <c r="B369" s="47"/>
      <c r="C369" s="12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12"/>
      <c r="BD369" s="12"/>
    </row>
    <row r="370" spans="1:56" ht="12" customHeight="1">
      <c r="A370" s="12"/>
      <c r="B370" s="47"/>
      <c r="C370" s="12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12"/>
      <c r="BD370" s="12"/>
    </row>
    <row r="371" spans="1:56" ht="12" customHeight="1">
      <c r="A371" s="12"/>
      <c r="B371" s="47"/>
      <c r="C371" s="12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12"/>
      <c r="BD371" s="12"/>
    </row>
    <row r="372" spans="1:56" ht="12" customHeight="1">
      <c r="A372" s="12"/>
      <c r="B372" s="47"/>
      <c r="C372" s="12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12"/>
      <c r="BD372" s="12"/>
    </row>
    <row r="373" spans="1:56" ht="12" customHeight="1">
      <c r="A373" s="12"/>
      <c r="B373" s="47"/>
      <c r="C373" s="12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12"/>
      <c r="BD373" s="12"/>
    </row>
    <row r="374" spans="1:56" ht="12" customHeight="1">
      <c r="A374" s="12"/>
      <c r="B374" s="47"/>
      <c r="C374" s="12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12"/>
      <c r="BD374" s="12"/>
    </row>
    <row r="375" spans="1:56" ht="12" customHeight="1">
      <c r="A375" s="12"/>
      <c r="B375" s="47"/>
      <c r="C375" s="12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12"/>
      <c r="BD375" s="12"/>
    </row>
    <row r="376" spans="1:56" ht="12" customHeight="1">
      <c r="A376" s="12"/>
      <c r="B376" s="47"/>
      <c r="C376" s="12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12"/>
      <c r="BD376" s="12"/>
    </row>
    <row r="377" spans="1:56" ht="12" customHeight="1">
      <c r="A377" s="12"/>
      <c r="B377" s="47"/>
      <c r="C377" s="12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12"/>
      <c r="BD377" s="12"/>
    </row>
    <row r="378" spans="1:56" ht="12" customHeight="1">
      <c r="A378" s="12"/>
      <c r="B378" s="47"/>
      <c r="C378" s="12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12"/>
      <c r="BD378" s="12"/>
    </row>
    <row r="379" spans="1:56" ht="12" customHeight="1">
      <c r="A379" s="12"/>
      <c r="B379" s="47"/>
      <c r="C379" s="12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12"/>
      <c r="BD379" s="12"/>
    </row>
    <row r="380" spans="1:56" ht="12" customHeight="1">
      <c r="A380" s="12"/>
      <c r="B380" s="47"/>
      <c r="C380" s="12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12"/>
      <c r="BD380" s="12"/>
    </row>
    <row r="381" spans="1:56" ht="12" customHeight="1">
      <c r="A381" s="12"/>
      <c r="B381" s="47"/>
      <c r="C381" s="12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12"/>
      <c r="BD381" s="12"/>
    </row>
    <row r="382" spans="1:56" ht="12" customHeight="1">
      <c r="A382" s="12"/>
      <c r="B382" s="47"/>
      <c r="C382" s="12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12"/>
      <c r="BD382" s="12"/>
    </row>
    <row r="383" spans="1:56" ht="12" customHeight="1">
      <c r="A383" s="12"/>
      <c r="B383" s="47"/>
      <c r="C383" s="12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12"/>
      <c r="BD383" s="12"/>
    </row>
    <row r="384" spans="1:56" ht="12" customHeight="1">
      <c r="A384" s="12"/>
      <c r="B384" s="47"/>
      <c r="C384" s="12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12"/>
      <c r="BD384" s="12"/>
    </row>
    <row r="385" spans="1:56" ht="12" customHeight="1">
      <c r="A385" s="12"/>
      <c r="B385" s="47"/>
      <c r="C385" s="12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12"/>
      <c r="BD385" s="12"/>
    </row>
    <row r="386" spans="1:56" ht="12" customHeight="1">
      <c r="A386" s="12"/>
      <c r="B386" s="47"/>
      <c r="C386" s="12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12"/>
      <c r="BD386" s="12"/>
    </row>
    <row r="387" spans="1:56" ht="12" customHeight="1">
      <c r="A387" s="12"/>
      <c r="B387" s="47"/>
      <c r="C387" s="12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12"/>
      <c r="BD387" s="12"/>
    </row>
    <row r="388" spans="1:56" ht="12" customHeight="1">
      <c r="A388" s="12"/>
      <c r="B388" s="47"/>
      <c r="C388" s="12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12"/>
      <c r="BD388" s="12"/>
    </row>
    <row r="389" spans="1:56" ht="12" customHeight="1">
      <c r="A389" s="12"/>
      <c r="B389" s="47"/>
      <c r="C389" s="12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12"/>
      <c r="BD389" s="12"/>
    </row>
    <row r="390" spans="1:56" ht="12" customHeight="1">
      <c r="A390" s="12"/>
      <c r="B390" s="47"/>
      <c r="C390" s="12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12"/>
      <c r="BD390" s="12"/>
    </row>
    <row r="391" spans="1:56" ht="12" customHeight="1">
      <c r="A391" s="12"/>
      <c r="B391" s="47"/>
      <c r="C391" s="12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12"/>
      <c r="BD391" s="12"/>
    </row>
    <row r="392" spans="1:56" ht="12" customHeight="1">
      <c r="A392" s="12"/>
      <c r="B392" s="47"/>
      <c r="C392" s="12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12"/>
      <c r="BD392" s="12"/>
    </row>
    <row r="393" spans="1:56" ht="12" customHeight="1">
      <c r="A393" s="12"/>
      <c r="B393" s="47"/>
      <c r="C393" s="12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12"/>
      <c r="BD393" s="12"/>
    </row>
    <row r="394" spans="1:56" ht="12" customHeight="1">
      <c r="A394" s="12"/>
      <c r="B394" s="47"/>
      <c r="C394" s="12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12"/>
      <c r="BD394" s="12"/>
    </row>
    <row r="395" spans="1:56" ht="12" customHeight="1">
      <c r="A395" s="12"/>
      <c r="B395" s="47"/>
      <c r="C395" s="12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12"/>
      <c r="BD395" s="12"/>
    </row>
    <row r="396" spans="1:56" ht="12" customHeight="1">
      <c r="A396" s="12"/>
      <c r="B396" s="47"/>
      <c r="C396" s="12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12"/>
      <c r="BD396" s="12"/>
    </row>
    <row r="397" spans="1:56" ht="12" customHeight="1">
      <c r="A397" s="12"/>
      <c r="B397" s="47"/>
      <c r="C397" s="12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12"/>
      <c r="BD397" s="12"/>
    </row>
    <row r="398" spans="1:56" ht="12" customHeight="1">
      <c r="A398" s="12"/>
      <c r="B398" s="47"/>
      <c r="C398" s="12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12"/>
      <c r="BD398" s="12"/>
    </row>
    <row r="399" spans="1:56" ht="12" customHeight="1">
      <c r="A399" s="12"/>
      <c r="B399" s="47"/>
      <c r="C399" s="12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12"/>
      <c r="BD399" s="12"/>
    </row>
    <row r="400" spans="1:56" ht="12" customHeight="1">
      <c r="A400" s="12"/>
      <c r="B400" s="47"/>
      <c r="C400" s="12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12"/>
      <c r="BD400" s="12"/>
    </row>
    <row r="401" spans="1:56" ht="12" customHeight="1">
      <c r="A401" s="12"/>
      <c r="B401" s="47"/>
      <c r="C401" s="12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12"/>
      <c r="BD401" s="12"/>
    </row>
    <row r="402" spans="1:56" ht="12" customHeight="1">
      <c r="A402" s="12"/>
      <c r="B402" s="47"/>
      <c r="C402" s="12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12"/>
      <c r="BD402" s="12"/>
    </row>
    <row r="403" spans="1:56" ht="12" customHeight="1">
      <c r="A403" s="12"/>
      <c r="B403" s="47"/>
      <c r="C403" s="12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12"/>
      <c r="BD403" s="12"/>
    </row>
    <row r="404" spans="1:56" ht="12" customHeight="1">
      <c r="A404" s="12"/>
      <c r="B404" s="47"/>
      <c r="C404" s="12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12"/>
      <c r="BD404" s="12"/>
    </row>
    <row r="405" spans="1:56" ht="12" customHeight="1">
      <c r="A405" s="12"/>
      <c r="B405" s="47"/>
      <c r="C405" s="12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12"/>
      <c r="BD405" s="12"/>
    </row>
    <row r="406" spans="1:56" ht="12" customHeight="1">
      <c r="A406" s="12"/>
      <c r="B406" s="47"/>
      <c r="C406" s="12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12"/>
      <c r="BD406" s="12"/>
    </row>
    <row r="407" spans="1:56" ht="12" customHeight="1">
      <c r="A407" s="12"/>
      <c r="B407" s="47"/>
      <c r="C407" s="12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12"/>
      <c r="BD407" s="12"/>
    </row>
    <row r="408" spans="1:56" ht="12" customHeight="1">
      <c r="A408" s="12"/>
      <c r="B408" s="47"/>
      <c r="C408" s="12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12"/>
      <c r="BD408" s="12"/>
    </row>
    <row r="409" spans="1:56" ht="12" customHeight="1">
      <c r="A409" s="12"/>
      <c r="B409" s="47"/>
      <c r="C409" s="12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12"/>
      <c r="BD409" s="12"/>
    </row>
    <row r="410" spans="1:56" ht="12" customHeight="1">
      <c r="A410" s="12"/>
      <c r="B410" s="47"/>
      <c r="C410" s="12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12"/>
      <c r="BD410" s="12"/>
    </row>
    <row r="411" spans="1:56" ht="12" customHeight="1">
      <c r="A411" s="12"/>
      <c r="B411" s="47"/>
      <c r="C411" s="12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12"/>
      <c r="BD411" s="12"/>
    </row>
    <row r="412" spans="1:56" ht="12" customHeight="1">
      <c r="A412" s="12"/>
      <c r="B412" s="47"/>
      <c r="C412" s="12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12"/>
      <c r="BD412" s="12"/>
    </row>
    <row r="413" spans="1:56" ht="12" customHeight="1">
      <c r="A413" s="12"/>
      <c r="B413" s="47"/>
      <c r="C413" s="12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12"/>
      <c r="BD413" s="12"/>
    </row>
    <row r="414" spans="1:56" ht="12" customHeight="1">
      <c r="A414" s="12"/>
      <c r="B414" s="47"/>
      <c r="C414" s="12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12"/>
      <c r="BD414" s="12"/>
    </row>
    <row r="415" spans="1:56" ht="12" customHeight="1">
      <c r="A415" s="12"/>
      <c r="B415" s="47"/>
      <c r="C415" s="12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12"/>
      <c r="BD415" s="12"/>
    </row>
    <row r="416" spans="1:56" ht="12" customHeight="1">
      <c r="A416" s="12"/>
      <c r="B416" s="47"/>
      <c r="C416" s="12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12"/>
      <c r="BD416" s="12"/>
    </row>
    <row r="417" spans="1:56" ht="12" customHeight="1">
      <c r="A417" s="12"/>
      <c r="B417" s="47"/>
      <c r="C417" s="12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12"/>
      <c r="BD417" s="12"/>
    </row>
    <row r="418" spans="1:56" ht="12" customHeight="1">
      <c r="A418" s="12"/>
      <c r="B418" s="47"/>
      <c r="C418" s="12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12"/>
      <c r="BD418" s="12"/>
    </row>
    <row r="419" spans="1:56" ht="12" customHeight="1">
      <c r="A419" s="12"/>
      <c r="B419" s="47"/>
      <c r="C419" s="12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12"/>
      <c r="BD419" s="12"/>
    </row>
    <row r="420" spans="1:56" ht="12" customHeight="1">
      <c r="A420" s="12"/>
      <c r="B420" s="47"/>
      <c r="C420" s="12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12"/>
      <c r="BD420" s="12"/>
    </row>
    <row r="421" spans="1:56" ht="12" customHeight="1">
      <c r="A421" s="12"/>
      <c r="B421" s="47"/>
      <c r="C421" s="12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12"/>
      <c r="BD421" s="12"/>
    </row>
    <row r="422" spans="1:56" ht="12" customHeight="1">
      <c r="A422" s="12"/>
      <c r="B422" s="47"/>
      <c r="C422" s="12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12"/>
      <c r="BD422" s="12"/>
    </row>
    <row r="423" spans="1:56" ht="12" customHeight="1">
      <c r="A423" s="12"/>
      <c r="B423" s="47"/>
      <c r="C423" s="12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12"/>
      <c r="BD423" s="12"/>
    </row>
    <row r="424" spans="1:56" ht="12" customHeight="1">
      <c r="A424" s="12"/>
      <c r="B424" s="47"/>
      <c r="C424" s="12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12"/>
      <c r="BD424" s="12"/>
    </row>
    <row r="425" spans="1:56" ht="12" customHeight="1">
      <c r="A425" s="12"/>
      <c r="B425" s="47"/>
      <c r="C425" s="12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12"/>
      <c r="BD425" s="12"/>
    </row>
    <row r="426" spans="1:56" ht="12" customHeight="1">
      <c r="A426" s="12"/>
      <c r="B426" s="47"/>
      <c r="C426" s="12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12"/>
      <c r="BD426" s="12"/>
    </row>
    <row r="427" spans="1:56" ht="12" customHeight="1">
      <c r="A427" s="12"/>
      <c r="B427" s="47"/>
      <c r="C427" s="12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12"/>
      <c r="BD427" s="12"/>
    </row>
    <row r="428" spans="1:56" ht="12" customHeight="1">
      <c r="A428" s="12"/>
      <c r="B428" s="47"/>
      <c r="C428" s="12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12"/>
      <c r="BD428" s="12"/>
    </row>
    <row r="429" spans="1:56" ht="12" customHeight="1">
      <c r="A429" s="12"/>
      <c r="B429" s="47"/>
      <c r="C429" s="12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12"/>
      <c r="BD429" s="12"/>
    </row>
    <row r="430" spans="1:56" ht="12" customHeight="1">
      <c r="A430" s="12"/>
      <c r="B430" s="47"/>
      <c r="C430" s="12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12"/>
      <c r="BD430" s="12"/>
    </row>
    <row r="431" spans="1:56" ht="12" customHeight="1">
      <c r="A431" s="12"/>
      <c r="B431" s="47"/>
      <c r="C431" s="12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12"/>
      <c r="BD431" s="12"/>
    </row>
    <row r="432" spans="1:56" ht="12" customHeight="1">
      <c r="A432" s="12"/>
      <c r="B432" s="47"/>
      <c r="C432" s="12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12"/>
      <c r="BD432" s="12"/>
    </row>
    <row r="433" spans="1:56" ht="12" customHeight="1">
      <c r="A433" s="12"/>
      <c r="B433" s="47"/>
      <c r="C433" s="12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12"/>
      <c r="BD433" s="12"/>
    </row>
    <row r="434" spans="1:56" ht="12" customHeight="1">
      <c r="A434" s="12"/>
      <c r="B434" s="47"/>
      <c r="C434" s="12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12"/>
      <c r="BD434" s="12"/>
    </row>
    <row r="435" spans="1:56" ht="12" customHeight="1">
      <c r="A435" s="12"/>
      <c r="B435" s="47"/>
      <c r="C435" s="12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12"/>
      <c r="BD435" s="12"/>
    </row>
    <row r="436" spans="1:56" ht="12" customHeight="1">
      <c r="A436" s="12"/>
      <c r="B436" s="47"/>
      <c r="C436" s="12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12"/>
      <c r="BD436" s="12"/>
    </row>
    <row r="437" spans="1:56" ht="12" customHeight="1">
      <c r="A437" s="12"/>
      <c r="B437" s="47"/>
      <c r="C437" s="12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12"/>
      <c r="BD437" s="12"/>
    </row>
    <row r="438" spans="1:56" ht="12" customHeight="1">
      <c r="A438" s="12"/>
      <c r="B438" s="47"/>
      <c r="C438" s="12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12"/>
      <c r="BD438" s="12"/>
    </row>
    <row r="439" spans="1:56" ht="12" customHeight="1">
      <c r="A439" s="12"/>
      <c r="B439" s="47"/>
      <c r="C439" s="12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12"/>
      <c r="BD439" s="12"/>
    </row>
    <row r="440" spans="1:56" ht="12" customHeight="1">
      <c r="A440" s="12"/>
      <c r="B440" s="47"/>
      <c r="C440" s="12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12"/>
      <c r="BD440" s="12"/>
    </row>
    <row r="441" spans="1:56" ht="12" customHeight="1">
      <c r="A441" s="12"/>
      <c r="B441" s="47"/>
      <c r="C441" s="12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12"/>
      <c r="BD441" s="12"/>
    </row>
    <row r="442" spans="1:56" ht="12" customHeight="1">
      <c r="A442" s="12"/>
      <c r="B442" s="47"/>
      <c r="C442" s="12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12"/>
      <c r="BD442" s="12"/>
    </row>
    <row r="443" spans="1:56" ht="12" customHeight="1">
      <c r="A443" s="12"/>
      <c r="B443" s="47"/>
      <c r="C443" s="12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12"/>
      <c r="BD443" s="12"/>
    </row>
    <row r="444" spans="1:56" ht="12" customHeight="1">
      <c r="A444" s="12"/>
      <c r="B444" s="47"/>
      <c r="C444" s="12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12"/>
      <c r="BD444" s="12"/>
    </row>
    <row r="445" spans="1:56" ht="12" customHeight="1">
      <c r="A445" s="12"/>
      <c r="B445" s="47"/>
      <c r="C445" s="12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12"/>
      <c r="BD445" s="12"/>
    </row>
    <row r="446" spans="1:56" ht="12" customHeight="1">
      <c r="A446" s="12"/>
      <c r="B446" s="47"/>
      <c r="C446" s="12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12"/>
      <c r="BD446" s="12"/>
    </row>
    <row r="447" spans="1:56" ht="12" customHeight="1">
      <c r="A447" s="12"/>
      <c r="B447" s="47"/>
      <c r="C447" s="12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12"/>
      <c r="BD447" s="12"/>
    </row>
    <row r="448" spans="1:56" ht="12" customHeight="1">
      <c r="A448" s="12"/>
      <c r="B448" s="47"/>
      <c r="C448" s="12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12"/>
      <c r="BD448" s="12"/>
    </row>
    <row r="449" spans="1:56" ht="12" customHeight="1">
      <c r="A449" s="12"/>
      <c r="B449" s="47"/>
      <c r="C449" s="12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12"/>
      <c r="BD449" s="12"/>
    </row>
    <row r="450" spans="1:56" ht="12" customHeight="1">
      <c r="A450" s="12"/>
      <c r="B450" s="47"/>
      <c r="C450" s="12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12"/>
      <c r="BD450" s="12"/>
    </row>
    <row r="451" spans="1:56" ht="12" customHeight="1">
      <c r="A451" s="12"/>
      <c r="B451" s="47"/>
      <c r="C451" s="12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12"/>
      <c r="BD451" s="12"/>
    </row>
    <row r="452" spans="1:56" ht="12" customHeight="1">
      <c r="A452" s="12"/>
      <c r="B452" s="47"/>
      <c r="C452" s="12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12"/>
      <c r="BD452" s="12"/>
    </row>
    <row r="453" spans="1:56" ht="12" customHeight="1">
      <c r="A453" s="12"/>
      <c r="B453" s="47"/>
      <c r="C453" s="12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12"/>
      <c r="BD453" s="12"/>
    </row>
    <row r="454" spans="1:56" ht="12" customHeight="1">
      <c r="A454" s="12"/>
      <c r="B454" s="47"/>
      <c r="C454" s="12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12"/>
      <c r="BD454" s="12"/>
    </row>
    <row r="455" spans="1:56" ht="12" customHeight="1">
      <c r="A455" s="12"/>
      <c r="B455" s="47"/>
      <c r="C455" s="12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12"/>
      <c r="BD455" s="12"/>
    </row>
    <row r="456" spans="1:56" ht="12" customHeight="1">
      <c r="A456" s="12"/>
      <c r="B456" s="47"/>
      <c r="C456" s="12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12"/>
      <c r="BD456" s="12"/>
    </row>
    <row r="457" spans="1:56" ht="12" customHeight="1">
      <c r="A457" s="12"/>
      <c r="B457" s="47"/>
      <c r="C457" s="12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12"/>
      <c r="BD457" s="12"/>
    </row>
    <row r="458" spans="1:56" ht="12" customHeight="1">
      <c r="A458" s="12"/>
      <c r="B458" s="47"/>
      <c r="C458" s="12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12"/>
      <c r="BD458" s="12"/>
    </row>
    <row r="459" spans="1:56" ht="12" customHeight="1">
      <c r="A459" s="12"/>
      <c r="B459" s="47"/>
      <c r="C459" s="12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12"/>
      <c r="BD459" s="12"/>
    </row>
    <row r="460" spans="1:56" ht="12" customHeight="1">
      <c r="A460" s="12"/>
      <c r="B460" s="47"/>
      <c r="C460" s="12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12"/>
      <c r="BD460" s="12"/>
    </row>
    <row r="461" spans="1:56" ht="12" customHeight="1">
      <c r="A461" s="12"/>
      <c r="B461" s="47"/>
      <c r="C461" s="12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12"/>
      <c r="BD461" s="12"/>
    </row>
    <row r="462" spans="1:56" ht="12" customHeight="1">
      <c r="A462" s="12"/>
      <c r="B462" s="47"/>
      <c r="C462" s="12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12"/>
      <c r="BD462" s="12"/>
    </row>
    <row r="463" spans="1:56" ht="12" customHeight="1">
      <c r="A463" s="12"/>
      <c r="B463" s="47"/>
      <c r="C463" s="12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12"/>
      <c r="BD463" s="12"/>
    </row>
    <row r="464" spans="1:56" ht="12" customHeight="1">
      <c r="A464" s="12"/>
      <c r="B464" s="47"/>
      <c r="C464" s="12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12"/>
      <c r="BD464" s="12"/>
    </row>
    <row r="465" spans="1:56" ht="12" customHeight="1">
      <c r="A465" s="12"/>
      <c r="B465" s="47"/>
      <c r="C465" s="12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12"/>
      <c r="BD465" s="12"/>
    </row>
    <row r="466" spans="1:56" ht="12" customHeight="1">
      <c r="A466" s="12"/>
      <c r="B466" s="47"/>
      <c r="C466" s="12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12"/>
      <c r="BD466" s="12"/>
    </row>
    <row r="467" spans="1:56" ht="12" customHeight="1">
      <c r="A467" s="12"/>
      <c r="B467" s="47"/>
      <c r="C467" s="12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12"/>
      <c r="BD467" s="12"/>
    </row>
    <row r="468" spans="1:56" ht="12" customHeight="1">
      <c r="A468" s="12"/>
      <c r="B468" s="47"/>
      <c r="C468" s="12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12"/>
      <c r="BD468" s="12"/>
    </row>
    <row r="469" spans="1:56" ht="12" customHeight="1">
      <c r="A469" s="12"/>
      <c r="B469" s="47"/>
      <c r="C469" s="12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12"/>
      <c r="BD469" s="12"/>
    </row>
    <row r="470" spans="1:56" ht="12" customHeight="1">
      <c r="A470" s="12"/>
      <c r="B470" s="47"/>
      <c r="C470" s="12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12"/>
      <c r="BD470" s="12"/>
    </row>
    <row r="471" spans="1:56" ht="12" customHeight="1">
      <c r="A471" s="12"/>
      <c r="B471" s="47"/>
      <c r="C471" s="12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12"/>
      <c r="BD471" s="12"/>
    </row>
    <row r="472" spans="1:56" ht="12" customHeight="1">
      <c r="A472" s="12"/>
      <c r="B472" s="47"/>
      <c r="C472" s="12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12"/>
      <c r="BD472" s="12"/>
    </row>
    <row r="473" spans="1:56" ht="12" customHeight="1">
      <c r="A473" s="12"/>
      <c r="B473" s="47"/>
      <c r="C473" s="12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12"/>
      <c r="BD473" s="12"/>
    </row>
    <row r="474" spans="1:56" ht="12" customHeight="1">
      <c r="A474" s="12"/>
      <c r="B474" s="47"/>
      <c r="C474" s="12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12"/>
      <c r="BD474" s="12"/>
    </row>
    <row r="475" spans="1:56" ht="12" customHeight="1">
      <c r="A475" s="12"/>
      <c r="B475" s="47"/>
      <c r="C475" s="12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12"/>
      <c r="BD475" s="12"/>
    </row>
    <row r="476" spans="1:56" ht="12" customHeight="1">
      <c r="A476" s="12"/>
      <c r="B476" s="47"/>
      <c r="C476" s="12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12"/>
      <c r="BD476" s="12"/>
    </row>
    <row r="477" spans="1:56" ht="12" customHeight="1">
      <c r="A477" s="12"/>
      <c r="B477" s="47"/>
      <c r="C477" s="12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12"/>
      <c r="BD477" s="12"/>
    </row>
    <row r="478" spans="1:56" ht="12" customHeight="1">
      <c r="A478" s="12"/>
      <c r="B478" s="47"/>
      <c r="C478" s="12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12"/>
      <c r="BD478" s="12"/>
    </row>
    <row r="479" spans="1:56" ht="12" customHeight="1">
      <c r="A479" s="12"/>
      <c r="B479" s="47"/>
      <c r="C479" s="12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12"/>
      <c r="BD479" s="12"/>
    </row>
    <row r="480" spans="1:56" ht="12" customHeight="1">
      <c r="A480" s="12"/>
      <c r="B480" s="47"/>
      <c r="C480" s="12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12"/>
      <c r="BD480" s="12"/>
    </row>
    <row r="481" spans="1:56" ht="12" customHeight="1">
      <c r="A481" s="12"/>
      <c r="B481" s="47"/>
      <c r="C481" s="12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12"/>
      <c r="BD481" s="12"/>
    </row>
    <row r="482" spans="1:56" ht="12" customHeight="1">
      <c r="A482" s="12"/>
      <c r="B482" s="47"/>
      <c r="C482" s="12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12"/>
      <c r="BD482" s="12"/>
    </row>
    <row r="483" spans="1:56" ht="12" customHeight="1">
      <c r="A483" s="12"/>
      <c r="B483" s="47"/>
      <c r="C483" s="12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12"/>
      <c r="BD483" s="12"/>
    </row>
    <row r="484" spans="1:56" ht="12" customHeight="1">
      <c r="A484" s="12"/>
      <c r="B484" s="47"/>
      <c r="C484" s="12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12"/>
      <c r="BD484" s="12"/>
    </row>
    <row r="485" spans="1:56" ht="12" customHeight="1">
      <c r="A485" s="12"/>
      <c r="B485" s="47"/>
      <c r="C485" s="12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12"/>
      <c r="BD485" s="12"/>
    </row>
    <row r="486" spans="1:56" ht="12" customHeight="1">
      <c r="A486" s="12"/>
      <c r="B486" s="47"/>
      <c r="C486" s="12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12"/>
      <c r="BD486" s="12"/>
    </row>
    <row r="487" spans="1:56" ht="12" customHeight="1">
      <c r="A487" s="12"/>
      <c r="B487" s="47"/>
      <c r="C487" s="12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12"/>
      <c r="BD487" s="12"/>
    </row>
    <row r="488" spans="1:56" ht="12" customHeight="1">
      <c r="A488" s="12"/>
      <c r="B488" s="47"/>
      <c r="C488" s="12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12"/>
      <c r="BD488" s="12"/>
    </row>
    <row r="489" spans="1:56" ht="12" customHeight="1">
      <c r="A489" s="12"/>
      <c r="B489" s="47"/>
      <c r="C489" s="12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12"/>
      <c r="BD489" s="12"/>
    </row>
    <row r="490" spans="1:56" ht="12" customHeight="1">
      <c r="A490" s="12"/>
      <c r="B490" s="47"/>
      <c r="C490" s="12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12"/>
      <c r="BD490" s="12"/>
    </row>
    <row r="491" spans="1:56" ht="12" customHeight="1">
      <c r="A491" s="12"/>
      <c r="B491" s="47"/>
      <c r="C491" s="12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12"/>
      <c r="BD491" s="12"/>
    </row>
    <row r="492" spans="1:56" ht="12" customHeight="1">
      <c r="A492" s="12"/>
      <c r="B492" s="47"/>
      <c r="C492" s="12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12"/>
      <c r="BD492" s="12"/>
    </row>
    <row r="493" spans="1:56" ht="12" customHeight="1">
      <c r="A493" s="12"/>
      <c r="B493" s="47"/>
      <c r="C493" s="12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12"/>
      <c r="BD493" s="12"/>
    </row>
    <row r="494" spans="1:56" ht="12" customHeight="1">
      <c r="A494" s="12"/>
      <c r="B494" s="47"/>
      <c r="C494" s="12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12"/>
      <c r="BD494" s="12"/>
    </row>
    <row r="495" spans="1:56" ht="12" customHeight="1">
      <c r="A495" s="12"/>
      <c r="B495" s="47"/>
      <c r="C495" s="12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12"/>
      <c r="BD495" s="12"/>
    </row>
    <row r="496" spans="1:56" ht="12" customHeight="1">
      <c r="A496" s="12"/>
      <c r="B496" s="47"/>
      <c r="C496" s="12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12"/>
      <c r="BD496" s="12"/>
    </row>
    <row r="497" spans="1:56" ht="12" customHeight="1">
      <c r="A497" s="12"/>
      <c r="B497" s="47"/>
      <c r="C497" s="12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12"/>
      <c r="BD497" s="12"/>
    </row>
    <row r="498" spans="1:56" ht="12" customHeight="1">
      <c r="A498" s="12"/>
      <c r="B498" s="47"/>
      <c r="C498" s="12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12"/>
      <c r="BD498" s="12"/>
    </row>
    <row r="499" spans="1:56" ht="12" customHeight="1">
      <c r="A499" s="12"/>
      <c r="B499" s="47"/>
      <c r="C499" s="12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12"/>
      <c r="BD499" s="12"/>
    </row>
    <row r="500" spans="1:56" ht="12" customHeight="1">
      <c r="A500" s="12"/>
      <c r="B500" s="47"/>
      <c r="C500" s="12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12"/>
      <c r="BD500" s="12"/>
    </row>
    <row r="501" spans="1:56" ht="12" customHeight="1">
      <c r="A501" s="12"/>
      <c r="B501" s="47"/>
      <c r="C501" s="12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12"/>
      <c r="BD501" s="12"/>
    </row>
    <row r="502" spans="1:56" ht="12" customHeight="1">
      <c r="A502" s="12"/>
      <c r="B502" s="47"/>
      <c r="C502" s="12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12"/>
      <c r="BD502" s="12"/>
    </row>
    <row r="503" spans="1:56" ht="12" customHeight="1">
      <c r="A503" s="12"/>
      <c r="B503" s="47"/>
      <c r="C503" s="12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12"/>
      <c r="BD503" s="12"/>
    </row>
    <row r="504" spans="1:56" ht="12" customHeight="1">
      <c r="A504" s="12"/>
      <c r="B504" s="47"/>
      <c r="C504" s="12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12"/>
      <c r="BD504" s="12"/>
    </row>
    <row r="505" spans="1:56" ht="12" customHeight="1">
      <c r="A505" s="12"/>
      <c r="B505" s="47"/>
      <c r="C505" s="12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12"/>
      <c r="BD505" s="12"/>
    </row>
    <row r="506" spans="1:56" ht="12" customHeight="1">
      <c r="A506" s="12"/>
      <c r="B506" s="47"/>
      <c r="C506" s="12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12"/>
      <c r="BD506" s="12"/>
    </row>
    <row r="507" spans="1:56" ht="12" customHeight="1">
      <c r="A507" s="12"/>
      <c r="B507" s="47"/>
      <c r="C507" s="12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12"/>
      <c r="BD507" s="12"/>
    </row>
    <row r="508" spans="1:56" ht="12" customHeight="1">
      <c r="A508" s="12"/>
      <c r="B508" s="47"/>
      <c r="C508" s="12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12"/>
      <c r="BD508" s="12"/>
    </row>
    <row r="509" spans="1:56" ht="12" customHeight="1">
      <c r="A509" s="12"/>
      <c r="B509" s="47"/>
      <c r="C509" s="12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12"/>
      <c r="BD509" s="12"/>
    </row>
    <row r="510" spans="1:56" ht="12" customHeight="1">
      <c r="A510" s="12"/>
      <c r="B510" s="47"/>
      <c r="C510" s="12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12"/>
      <c r="BD510" s="12"/>
    </row>
    <row r="511" spans="1:56" ht="12" customHeight="1">
      <c r="A511" s="12"/>
      <c r="B511" s="47"/>
      <c r="C511" s="12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12"/>
      <c r="BD511" s="12"/>
    </row>
    <row r="512" spans="1:56" ht="12" customHeight="1">
      <c r="A512" s="12"/>
      <c r="B512" s="47"/>
      <c r="C512" s="12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12"/>
      <c r="BD512" s="12"/>
    </row>
    <row r="513" spans="1:56" ht="12" customHeight="1">
      <c r="A513" s="12"/>
      <c r="B513" s="47"/>
      <c r="C513" s="12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12"/>
      <c r="BD513" s="12"/>
    </row>
    <row r="514" spans="1:56" ht="12" customHeight="1">
      <c r="A514" s="12"/>
      <c r="B514" s="47"/>
      <c r="C514" s="12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12"/>
      <c r="BD514" s="12"/>
    </row>
    <row r="515" spans="1:56" ht="12" customHeight="1">
      <c r="A515" s="12"/>
      <c r="B515" s="47"/>
      <c r="C515" s="12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12"/>
      <c r="BD515" s="12"/>
    </row>
    <row r="516" spans="1:56" ht="12" customHeight="1">
      <c r="A516" s="12"/>
      <c r="B516" s="47"/>
      <c r="C516" s="12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12"/>
      <c r="BD516" s="12"/>
    </row>
    <row r="517" spans="1:56" ht="12" customHeight="1">
      <c r="A517" s="12"/>
      <c r="B517" s="47"/>
      <c r="C517" s="12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12"/>
      <c r="BD517" s="12"/>
    </row>
    <row r="518" spans="1:56" ht="12" customHeight="1">
      <c r="A518" s="12"/>
      <c r="B518" s="47"/>
      <c r="C518" s="12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12"/>
      <c r="BD518" s="12"/>
    </row>
    <row r="519" spans="1:56" ht="12" customHeight="1">
      <c r="A519" s="12"/>
      <c r="B519" s="47"/>
      <c r="C519" s="12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12"/>
      <c r="BD519" s="12"/>
    </row>
    <row r="520" spans="1:56" ht="12" customHeight="1">
      <c r="A520" s="12"/>
      <c r="B520" s="47"/>
      <c r="C520" s="12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12"/>
      <c r="BD520" s="12"/>
    </row>
    <row r="521" spans="1:56" ht="12" customHeight="1">
      <c r="A521" s="12"/>
      <c r="B521" s="47"/>
      <c r="C521" s="12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12"/>
      <c r="BD521" s="12"/>
    </row>
    <row r="522" spans="1:56" ht="12" customHeight="1">
      <c r="A522" s="12"/>
      <c r="B522" s="47"/>
      <c r="C522" s="12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12"/>
      <c r="BD522" s="12"/>
    </row>
    <row r="523" spans="1:56" ht="12" customHeight="1">
      <c r="A523" s="12"/>
      <c r="B523" s="47"/>
      <c r="C523" s="12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12"/>
      <c r="BD523" s="12"/>
    </row>
    <row r="524" spans="1:56" ht="12" customHeight="1">
      <c r="A524" s="12"/>
      <c r="B524" s="47"/>
      <c r="C524" s="12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12"/>
      <c r="BD524" s="12"/>
    </row>
    <row r="525" spans="1:56" ht="12" customHeight="1">
      <c r="A525" s="12"/>
      <c r="B525" s="47"/>
      <c r="C525" s="12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12"/>
      <c r="BD525" s="12"/>
    </row>
    <row r="526" spans="1:56" ht="12" customHeight="1">
      <c r="A526" s="12"/>
      <c r="B526" s="47"/>
      <c r="C526" s="12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12"/>
      <c r="BD526" s="12"/>
    </row>
    <row r="527" spans="1:56" ht="12" customHeight="1">
      <c r="A527" s="12"/>
      <c r="B527" s="47"/>
      <c r="C527" s="12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12"/>
      <c r="BD527" s="12"/>
    </row>
    <row r="528" spans="1:56" ht="12" customHeight="1">
      <c r="A528" s="12"/>
      <c r="B528" s="47"/>
      <c r="C528" s="12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12"/>
      <c r="BD528" s="12"/>
    </row>
    <row r="529" spans="1:56" ht="12" customHeight="1">
      <c r="A529" s="12"/>
      <c r="B529" s="47"/>
      <c r="C529" s="12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12"/>
      <c r="BD529" s="12"/>
    </row>
    <row r="530" spans="1:56" ht="12" customHeight="1">
      <c r="A530" s="12"/>
      <c r="B530" s="47"/>
      <c r="C530" s="12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12"/>
      <c r="BD530" s="12"/>
    </row>
    <row r="531" spans="1:56" ht="12" customHeight="1">
      <c r="A531" s="12"/>
      <c r="B531" s="47"/>
      <c r="C531" s="12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12"/>
      <c r="BD531" s="12"/>
    </row>
    <row r="532" spans="1:56" ht="12" customHeight="1">
      <c r="A532" s="12"/>
      <c r="B532" s="47"/>
      <c r="C532" s="12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12"/>
      <c r="BD532" s="12"/>
    </row>
    <row r="533" spans="1:56" ht="12" customHeight="1">
      <c r="A533" s="12"/>
      <c r="B533" s="47"/>
      <c r="C533" s="12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12"/>
      <c r="BD533" s="12"/>
    </row>
    <row r="534" spans="1:56" ht="12" customHeight="1">
      <c r="A534" s="12"/>
      <c r="B534" s="47"/>
      <c r="C534" s="12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12"/>
      <c r="BD534" s="12"/>
    </row>
    <row r="535" spans="1:56" ht="12" customHeight="1">
      <c r="A535" s="12"/>
      <c r="B535" s="47"/>
      <c r="C535" s="12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12"/>
      <c r="BD535" s="12"/>
    </row>
    <row r="536" spans="1:56" ht="12" customHeight="1">
      <c r="A536" s="12"/>
      <c r="B536" s="47"/>
      <c r="C536" s="12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12"/>
      <c r="BD536" s="12"/>
    </row>
    <row r="537" spans="1:56" ht="12" customHeight="1">
      <c r="A537" s="12"/>
      <c r="B537" s="47"/>
      <c r="C537" s="12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12"/>
      <c r="BD537" s="12"/>
    </row>
    <row r="538" spans="1:56" ht="12" customHeight="1">
      <c r="A538" s="12"/>
      <c r="B538" s="47"/>
      <c r="C538" s="12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12"/>
      <c r="BD538" s="12"/>
    </row>
    <row r="539" spans="1:56" ht="12" customHeight="1">
      <c r="A539" s="12"/>
      <c r="B539" s="47"/>
      <c r="C539" s="12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12"/>
      <c r="BD539" s="12"/>
    </row>
    <row r="540" spans="1:56" ht="12" customHeight="1">
      <c r="A540" s="12"/>
      <c r="B540" s="47"/>
      <c r="C540" s="12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12"/>
      <c r="BD540" s="12"/>
    </row>
    <row r="541" spans="1:56" ht="12" customHeight="1">
      <c r="A541" s="12"/>
      <c r="B541" s="47"/>
      <c r="C541" s="12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12"/>
      <c r="BD541" s="12"/>
    </row>
    <row r="542" spans="1:56" ht="12" customHeight="1">
      <c r="A542" s="12"/>
      <c r="B542" s="47"/>
      <c r="C542" s="12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12"/>
      <c r="BD542" s="12"/>
    </row>
    <row r="543" spans="1:56" ht="12" customHeight="1">
      <c r="A543" s="12"/>
      <c r="B543" s="47"/>
      <c r="C543" s="12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12"/>
      <c r="BD543" s="12"/>
    </row>
    <row r="544" spans="1:56" ht="12" customHeight="1">
      <c r="A544" s="12"/>
      <c r="B544" s="47"/>
      <c r="C544" s="12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12"/>
      <c r="BD544" s="12"/>
    </row>
    <row r="545" spans="1:56" ht="12" customHeight="1">
      <c r="A545" s="12"/>
      <c r="B545" s="47"/>
      <c r="C545" s="12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12"/>
      <c r="BD545" s="12"/>
    </row>
    <row r="546" spans="1:56" ht="12" customHeight="1">
      <c r="A546" s="12"/>
      <c r="B546" s="47"/>
      <c r="C546" s="12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12"/>
      <c r="BD546" s="12"/>
    </row>
    <row r="547" spans="1:56" ht="12" customHeight="1">
      <c r="A547" s="12"/>
      <c r="B547" s="47"/>
      <c r="C547" s="12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12"/>
      <c r="BD547" s="12"/>
    </row>
    <row r="548" spans="1:56" ht="12" customHeight="1">
      <c r="A548" s="12"/>
      <c r="B548" s="47"/>
      <c r="C548" s="12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12"/>
      <c r="BD548" s="12"/>
    </row>
    <row r="549" spans="1:56" ht="12" customHeight="1">
      <c r="A549" s="12"/>
      <c r="B549" s="47"/>
      <c r="C549" s="12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12"/>
      <c r="BD549" s="12"/>
    </row>
    <row r="550" spans="1:56" ht="12" customHeight="1">
      <c r="A550" s="12"/>
      <c r="B550" s="47"/>
      <c r="C550" s="12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12"/>
      <c r="BD550" s="12"/>
    </row>
    <row r="551" spans="1:56" ht="12" customHeight="1">
      <c r="A551" s="12"/>
      <c r="B551" s="47"/>
      <c r="C551" s="12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12"/>
      <c r="BD551" s="12"/>
    </row>
    <row r="552" spans="1:56" ht="12" customHeight="1">
      <c r="A552" s="12"/>
      <c r="B552" s="47"/>
      <c r="C552" s="12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12"/>
      <c r="BD552" s="12"/>
    </row>
    <row r="553" spans="1:56" ht="12" customHeight="1">
      <c r="A553" s="12"/>
      <c r="B553" s="47"/>
      <c r="C553" s="12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12"/>
      <c r="BD553" s="12"/>
    </row>
    <row r="554" spans="1:56" ht="12" customHeight="1">
      <c r="A554" s="12"/>
      <c r="B554" s="47"/>
      <c r="C554" s="12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12"/>
      <c r="BD554" s="12"/>
    </row>
    <row r="555" spans="1:56" ht="12" customHeight="1">
      <c r="A555" s="12"/>
      <c r="B555" s="47"/>
      <c r="C555" s="12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  <c r="AX555" s="48"/>
      <c r="AY555" s="48"/>
      <c r="AZ555" s="48"/>
      <c r="BA555" s="48"/>
      <c r="BB555" s="48"/>
      <c r="BC555" s="12"/>
      <c r="BD555" s="12"/>
    </row>
    <row r="556" spans="1:56" ht="12" customHeight="1">
      <c r="A556" s="12"/>
      <c r="B556" s="47"/>
      <c r="C556" s="12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12"/>
      <c r="BD556" s="12"/>
    </row>
    <row r="557" spans="1:56" ht="12" customHeight="1">
      <c r="A557" s="12"/>
      <c r="B557" s="47"/>
      <c r="C557" s="12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  <c r="AX557" s="48"/>
      <c r="AY557" s="48"/>
      <c r="AZ557" s="48"/>
      <c r="BA557" s="48"/>
      <c r="BB557" s="48"/>
      <c r="BC557" s="12"/>
      <c r="BD557" s="12"/>
    </row>
    <row r="558" spans="1:56" ht="12" customHeight="1">
      <c r="A558" s="12"/>
      <c r="B558" s="47"/>
      <c r="C558" s="12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12"/>
      <c r="BD558" s="12"/>
    </row>
    <row r="559" spans="1:56" ht="12" customHeight="1">
      <c r="A559" s="12"/>
      <c r="B559" s="47"/>
      <c r="C559" s="12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12"/>
      <c r="BD559" s="12"/>
    </row>
    <row r="560" spans="1:56" ht="12" customHeight="1">
      <c r="A560" s="12"/>
      <c r="B560" s="47"/>
      <c r="C560" s="12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12"/>
      <c r="BD560" s="12"/>
    </row>
    <row r="561" spans="1:56" ht="12" customHeight="1">
      <c r="A561" s="12"/>
      <c r="B561" s="47"/>
      <c r="C561" s="12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  <c r="AX561" s="48"/>
      <c r="AY561" s="48"/>
      <c r="AZ561" s="48"/>
      <c r="BA561" s="48"/>
      <c r="BB561" s="48"/>
      <c r="BC561" s="12"/>
      <c r="BD561" s="12"/>
    </row>
    <row r="562" spans="1:56" ht="12" customHeight="1">
      <c r="A562" s="12"/>
      <c r="B562" s="47"/>
      <c r="C562" s="12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12"/>
      <c r="BD562" s="12"/>
    </row>
    <row r="563" spans="1:56" ht="12" customHeight="1">
      <c r="A563" s="12"/>
      <c r="B563" s="47"/>
      <c r="C563" s="12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12"/>
      <c r="BD563" s="12"/>
    </row>
    <row r="564" spans="1:56" ht="12" customHeight="1">
      <c r="A564" s="12"/>
      <c r="B564" s="47"/>
      <c r="C564" s="12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12"/>
      <c r="BD564" s="12"/>
    </row>
    <row r="565" spans="1:56" ht="12" customHeight="1">
      <c r="A565" s="12"/>
      <c r="B565" s="47"/>
      <c r="C565" s="12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12"/>
      <c r="BD565" s="12"/>
    </row>
    <row r="566" spans="1:56" ht="12" customHeight="1">
      <c r="A566" s="12"/>
      <c r="B566" s="47"/>
      <c r="C566" s="12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12"/>
      <c r="BD566" s="12"/>
    </row>
    <row r="567" spans="1:56" ht="12" customHeight="1">
      <c r="A567" s="12"/>
      <c r="B567" s="47"/>
      <c r="C567" s="12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12"/>
      <c r="BD567" s="12"/>
    </row>
    <row r="568" spans="1:56" ht="12" customHeight="1">
      <c r="A568" s="12"/>
      <c r="B568" s="47"/>
      <c r="C568" s="12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12"/>
      <c r="BD568" s="12"/>
    </row>
    <row r="569" spans="1:56" ht="12" customHeight="1">
      <c r="A569" s="12"/>
      <c r="B569" s="47"/>
      <c r="C569" s="12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12"/>
      <c r="BD569" s="12"/>
    </row>
    <row r="570" spans="1:56" ht="12" customHeight="1">
      <c r="A570" s="12"/>
      <c r="B570" s="47"/>
      <c r="C570" s="12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12"/>
      <c r="BD570" s="12"/>
    </row>
    <row r="571" spans="1:56" ht="12" customHeight="1">
      <c r="A571" s="12"/>
      <c r="B571" s="47"/>
      <c r="C571" s="12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12"/>
      <c r="BD571" s="12"/>
    </row>
    <row r="572" spans="1:56" ht="12" customHeight="1">
      <c r="A572" s="12"/>
      <c r="B572" s="47"/>
      <c r="C572" s="12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  <c r="AX572" s="48"/>
      <c r="AY572" s="48"/>
      <c r="AZ572" s="48"/>
      <c r="BA572" s="48"/>
      <c r="BB572" s="48"/>
      <c r="BC572" s="12"/>
      <c r="BD572" s="12"/>
    </row>
    <row r="573" spans="1:56" ht="12" customHeight="1">
      <c r="A573" s="12"/>
      <c r="B573" s="47"/>
      <c r="C573" s="12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  <c r="AX573" s="48"/>
      <c r="AY573" s="48"/>
      <c r="AZ573" s="48"/>
      <c r="BA573" s="48"/>
      <c r="BB573" s="48"/>
      <c r="BC573" s="12"/>
      <c r="BD573" s="12"/>
    </row>
    <row r="574" spans="1:56" ht="12" customHeight="1">
      <c r="A574" s="12"/>
      <c r="B574" s="47"/>
      <c r="C574" s="12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12"/>
      <c r="BD574" s="12"/>
    </row>
    <row r="575" spans="1:56" ht="12" customHeight="1">
      <c r="A575" s="12"/>
      <c r="B575" s="47"/>
      <c r="C575" s="12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  <c r="AX575" s="48"/>
      <c r="AY575" s="48"/>
      <c r="AZ575" s="48"/>
      <c r="BA575" s="48"/>
      <c r="BB575" s="48"/>
      <c r="BC575" s="12"/>
      <c r="BD575" s="12"/>
    </row>
    <row r="576" spans="1:56" ht="12" customHeight="1">
      <c r="A576" s="12"/>
      <c r="B576" s="47"/>
      <c r="C576" s="12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12"/>
      <c r="BD576" s="12"/>
    </row>
    <row r="577" spans="1:56" ht="12" customHeight="1">
      <c r="A577" s="12"/>
      <c r="B577" s="47"/>
      <c r="C577" s="12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12"/>
      <c r="BD577" s="12"/>
    </row>
    <row r="578" spans="1:56" ht="12" customHeight="1">
      <c r="A578" s="12"/>
      <c r="B578" s="47"/>
      <c r="C578" s="12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12"/>
      <c r="BD578" s="12"/>
    </row>
    <row r="579" spans="1:56" ht="12" customHeight="1">
      <c r="A579" s="12"/>
      <c r="B579" s="47"/>
      <c r="C579" s="12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  <c r="AX579" s="48"/>
      <c r="AY579" s="48"/>
      <c r="AZ579" s="48"/>
      <c r="BA579" s="48"/>
      <c r="BB579" s="48"/>
      <c r="BC579" s="12"/>
      <c r="BD579" s="12"/>
    </row>
    <row r="580" spans="1:56" ht="12" customHeight="1">
      <c r="A580" s="12"/>
      <c r="B580" s="47"/>
      <c r="C580" s="12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12"/>
      <c r="BD580" s="12"/>
    </row>
    <row r="581" spans="1:56" ht="12" customHeight="1">
      <c r="A581" s="12"/>
      <c r="B581" s="47"/>
      <c r="C581" s="12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12"/>
      <c r="BD581" s="12"/>
    </row>
    <row r="582" spans="1:56" ht="12" customHeight="1">
      <c r="A582" s="12"/>
      <c r="B582" s="47"/>
      <c r="C582" s="12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12"/>
      <c r="BD582" s="12"/>
    </row>
    <row r="583" spans="1:56" ht="12" customHeight="1">
      <c r="A583" s="12"/>
      <c r="B583" s="47"/>
      <c r="C583" s="12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12"/>
      <c r="BD583" s="12"/>
    </row>
    <row r="584" spans="1:56" ht="12" customHeight="1">
      <c r="A584" s="12"/>
      <c r="B584" s="47"/>
      <c r="C584" s="12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  <c r="AX584" s="48"/>
      <c r="AY584" s="48"/>
      <c r="AZ584" s="48"/>
      <c r="BA584" s="48"/>
      <c r="BB584" s="48"/>
      <c r="BC584" s="12"/>
      <c r="BD584" s="12"/>
    </row>
    <row r="585" spans="1:56" ht="12" customHeight="1">
      <c r="A585" s="12"/>
      <c r="B585" s="47"/>
      <c r="C585" s="12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  <c r="AX585" s="48"/>
      <c r="AY585" s="48"/>
      <c r="AZ585" s="48"/>
      <c r="BA585" s="48"/>
      <c r="BB585" s="48"/>
      <c r="BC585" s="12"/>
      <c r="BD585" s="12"/>
    </row>
    <row r="586" spans="1:56" ht="12" customHeight="1">
      <c r="A586" s="12"/>
      <c r="B586" s="47"/>
      <c r="C586" s="12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12"/>
      <c r="BD586" s="12"/>
    </row>
    <row r="587" spans="1:56" ht="12" customHeight="1">
      <c r="A587" s="12"/>
      <c r="B587" s="47"/>
      <c r="C587" s="12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  <c r="AX587" s="48"/>
      <c r="AY587" s="48"/>
      <c r="AZ587" s="48"/>
      <c r="BA587" s="48"/>
      <c r="BB587" s="48"/>
      <c r="BC587" s="12"/>
      <c r="BD587" s="12"/>
    </row>
    <row r="588" spans="1:56" ht="12" customHeight="1">
      <c r="A588" s="12"/>
      <c r="B588" s="47"/>
      <c r="C588" s="12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12"/>
      <c r="BD588" s="12"/>
    </row>
    <row r="589" spans="1:56" ht="12" customHeight="1">
      <c r="A589" s="12"/>
      <c r="B589" s="47"/>
      <c r="C589" s="12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12"/>
      <c r="BD589" s="12"/>
    </row>
    <row r="590" spans="1:56" ht="12" customHeight="1">
      <c r="A590" s="12"/>
      <c r="B590" s="47"/>
      <c r="C590" s="12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12"/>
      <c r="BD590" s="12"/>
    </row>
    <row r="591" spans="1:56" ht="12" customHeight="1">
      <c r="A591" s="12"/>
      <c r="B591" s="47"/>
      <c r="C591" s="12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  <c r="AX591" s="48"/>
      <c r="AY591" s="48"/>
      <c r="AZ591" s="48"/>
      <c r="BA591" s="48"/>
      <c r="BB591" s="48"/>
      <c r="BC591" s="12"/>
      <c r="BD591" s="12"/>
    </row>
    <row r="592" spans="1:56" ht="12" customHeight="1">
      <c r="A592" s="12"/>
      <c r="B592" s="47"/>
      <c r="C592" s="12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12"/>
      <c r="BD592" s="12"/>
    </row>
    <row r="593" spans="1:56" ht="12" customHeight="1">
      <c r="A593" s="12"/>
      <c r="B593" s="47"/>
      <c r="C593" s="12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  <c r="AX593" s="48"/>
      <c r="AY593" s="48"/>
      <c r="AZ593" s="48"/>
      <c r="BA593" s="48"/>
      <c r="BB593" s="48"/>
      <c r="BC593" s="12"/>
      <c r="BD593" s="12"/>
    </row>
    <row r="594" spans="1:56" ht="12" customHeight="1">
      <c r="A594" s="12"/>
      <c r="B594" s="47"/>
      <c r="C594" s="12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12"/>
      <c r="BD594" s="12"/>
    </row>
    <row r="595" spans="1:56" ht="12" customHeight="1">
      <c r="A595" s="12"/>
      <c r="B595" s="47"/>
      <c r="C595" s="12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12"/>
      <c r="BD595" s="12"/>
    </row>
    <row r="596" spans="1:56" ht="12" customHeight="1">
      <c r="A596" s="12"/>
      <c r="B596" s="47"/>
      <c r="C596" s="12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12"/>
      <c r="BD596" s="12"/>
    </row>
    <row r="597" spans="1:56" ht="12" customHeight="1">
      <c r="A597" s="12"/>
      <c r="B597" s="47"/>
      <c r="C597" s="12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8"/>
      <c r="BB597" s="48"/>
      <c r="BC597" s="12"/>
      <c r="BD597" s="12"/>
    </row>
    <row r="598" spans="1:56" ht="12" customHeight="1">
      <c r="A598" s="12"/>
      <c r="B598" s="47"/>
      <c r="C598" s="12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12"/>
      <c r="BD598" s="12"/>
    </row>
    <row r="599" spans="1:56" ht="12" customHeight="1">
      <c r="A599" s="12"/>
      <c r="B599" s="47"/>
      <c r="C599" s="12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  <c r="AX599" s="48"/>
      <c r="AY599" s="48"/>
      <c r="AZ599" s="48"/>
      <c r="BA599" s="48"/>
      <c r="BB599" s="48"/>
      <c r="BC599" s="12"/>
      <c r="BD599" s="12"/>
    </row>
    <row r="600" spans="1:56" ht="12" customHeight="1">
      <c r="A600" s="12"/>
      <c r="B600" s="47"/>
      <c r="C600" s="12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  <c r="AX600" s="48"/>
      <c r="AY600" s="48"/>
      <c r="AZ600" s="48"/>
      <c r="BA600" s="48"/>
      <c r="BB600" s="48"/>
      <c r="BC600" s="12"/>
      <c r="BD600" s="12"/>
    </row>
    <row r="601" spans="1:56" ht="12" customHeight="1">
      <c r="A601" s="12"/>
      <c r="B601" s="47"/>
      <c r="C601" s="12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  <c r="AX601" s="48"/>
      <c r="AY601" s="48"/>
      <c r="AZ601" s="48"/>
      <c r="BA601" s="48"/>
      <c r="BB601" s="48"/>
      <c r="BC601" s="12"/>
      <c r="BD601" s="12"/>
    </row>
    <row r="602" spans="1:56" ht="12" customHeight="1">
      <c r="A602" s="12"/>
      <c r="B602" s="47"/>
      <c r="C602" s="12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  <c r="AX602" s="48"/>
      <c r="AY602" s="48"/>
      <c r="AZ602" s="48"/>
      <c r="BA602" s="48"/>
      <c r="BB602" s="48"/>
      <c r="BC602" s="12"/>
      <c r="BD602" s="12"/>
    </row>
    <row r="603" spans="1:56" ht="12" customHeight="1">
      <c r="A603" s="12"/>
      <c r="B603" s="47"/>
      <c r="C603" s="12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  <c r="AX603" s="48"/>
      <c r="AY603" s="48"/>
      <c r="AZ603" s="48"/>
      <c r="BA603" s="48"/>
      <c r="BB603" s="48"/>
      <c r="BC603" s="12"/>
      <c r="BD603" s="12"/>
    </row>
    <row r="604" spans="1:56" ht="12" customHeight="1">
      <c r="A604" s="12"/>
      <c r="B604" s="47"/>
      <c r="C604" s="12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  <c r="AX604" s="48"/>
      <c r="AY604" s="48"/>
      <c r="AZ604" s="48"/>
      <c r="BA604" s="48"/>
      <c r="BB604" s="48"/>
      <c r="BC604" s="12"/>
      <c r="BD604" s="12"/>
    </row>
    <row r="605" spans="1:56" ht="12" customHeight="1">
      <c r="A605" s="12"/>
      <c r="B605" s="47"/>
      <c r="C605" s="12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  <c r="AX605" s="48"/>
      <c r="AY605" s="48"/>
      <c r="AZ605" s="48"/>
      <c r="BA605" s="48"/>
      <c r="BB605" s="48"/>
      <c r="BC605" s="12"/>
      <c r="BD605" s="12"/>
    </row>
    <row r="606" spans="1:56" ht="12" customHeight="1">
      <c r="A606" s="12"/>
      <c r="B606" s="47"/>
      <c r="C606" s="12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12"/>
      <c r="BD606" s="12"/>
    </row>
    <row r="607" spans="1:56" ht="12" customHeight="1">
      <c r="A607" s="12"/>
      <c r="B607" s="47"/>
      <c r="C607" s="12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12"/>
      <c r="BD607" s="12"/>
    </row>
    <row r="608" spans="1:56" ht="12" customHeight="1">
      <c r="A608" s="12"/>
      <c r="B608" s="47"/>
      <c r="C608" s="12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  <c r="AX608" s="48"/>
      <c r="AY608" s="48"/>
      <c r="AZ608" s="48"/>
      <c r="BA608" s="48"/>
      <c r="BB608" s="48"/>
      <c r="BC608" s="12"/>
      <c r="BD608" s="12"/>
    </row>
    <row r="609" spans="1:56" ht="12" customHeight="1">
      <c r="A609" s="12"/>
      <c r="B609" s="47"/>
      <c r="C609" s="12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  <c r="AX609" s="48"/>
      <c r="AY609" s="48"/>
      <c r="AZ609" s="48"/>
      <c r="BA609" s="48"/>
      <c r="BB609" s="48"/>
      <c r="BC609" s="12"/>
      <c r="BD609" s="12"/>
    </row>
    <row r="610" spans="1:56" ht="12" customHeight="1">
      <c r="A610" s="12"/>
      <c r="B610" s="47"/>
      <c r="C610" s="12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12"/>
      <c r="BD610" s="12"/>
    </row>
    <row r="611" spans="1:56" ht="12" customHeight="1">
      <c r="A611" s="12"/>
      <c r="B611" s="47"/>
      <c r="C611" s="12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  <c r="AX611" s="48"/>
      <c r="AY611" s="48"/>
      <c r="AZ611" s="48"/>
      <c r="BA611" s="48"/>
      <c r="BB611" s="48"/>
      <c r="BC611" s="12"/>
      <c r="BD611" s="12"/>
    </row>
    <row r="612" spans="1:56" ht="12" customHeight="1">
      <c r="A612" s="12"/>
      <c r="B612" s="47"/>
      <c r="C612" s="12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  <c r="AX612" s="48"/>
      <c r="AY612" s="48"/>
      <c r="AZ612" s="48"/>
      <c r="BA612" s="48"/>
      <c r="BB612" s="48"/>
      <c r="BC612" s="12"/>
      <c r="BD612" s="12"/>
    </row>
    <row r="613" spans="1:56" ht="12" customHeight="1">
      <c r="A613" s="12"/>
      <c r="B613" s="47"/>
      <c r="C613" s="12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  <c r="AX613" s="48"/>
      <c r="AY613" s="48"/>
      <c r="AZ613" s="48"/>
      <c r="BA613" s="48"/>
      <c r="BB613" s="48"/>
      <c r="BC613" s="12"/>
      <c r="BD613" s="12"/>
    </row>
    <row r="614" spans="1:56" ht="12" customHeight="1">
      <c r="A614" s="12"/>
      <c r="B614" s="47"/>
      <c r="C614" s="12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  <c r="AX614" s="48"/>
      <c r="AY614" s="48"/>
      <c r="AZ614" s="48"/>
      <c r="BA614" s="48"/>
      <c r="BB614" s="48"/>
      <c r="BC614" s="12"/>
      <c r="BD614" s="12"/>
    </row>
    <row r="615" spans="1:56" ht="12" customHeight="1">
      <c r="A615" s="12"/>
      <c r="B615" s="47"/>
      <c r="C615" s="12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  <c r="AX615" s="48"/>
      <c r="AY615" s="48"/>
      <c r="AZ615" s="48"/>
      <c r="BA615" s="48"/>
      <c r="BB615" s="48"/>
      <c r="BC615" s="12"/>
      <c r="BD615" s="12"/>
    </row>
    <row r="616" spans="1:56" ht="12" customHeight="1">
      <c r="A616" s="12"/>
      <c r="B616" s="47"/>
      <c r="C616" s="12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12"/>
      <c r="BD616" s="12"/>
    </row>
    <row r="617" spans="1:56" ht="12" customHeight="1">
      <c r="A617" s="12"/>
      <c r="B617" s="47"/>
      <c r="C617" s="12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  <c r="AX617" s="48"/>
      <c r="AY617" s="48"/>
      <c r="AZ617" s="48"/>
      <c r="BA617" s="48"/>
      <c r="BB617" s="48"/>
      <c r="BC617" s="12"/>
      <c r="BD617" s="12"/>
    </row>
    <row r="618" spans="1:56" ht="12" customHeight="1">
      <c r="A618" s="12"/>
      <c r="B618" s="47"/>
      <c r="C618" s="12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  <c r="AX618" s="48"/>
      <c r="AY618" s="48"/>
      <c r="AZ618" s="48"/>
      <c r="BA618" s="48"/>
      <c r="BB618" s="48"/>
      <c r="BC618" s="12"/>
      <c r="BD618" s="12"/>
    </row>
    <row r="619" spans="1:56" ht="12" customHeight="1">
      <c r="A619" s="12"/>
      <c r="B619" s="47"/>
      <c r="C619" s="12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  <c r="AX619" s="48"/>
      <c r="AY619" s="48"/>
      <c r="AZ619" s="48"/>
      <c r="BA619" s="48"/>
      <c r="BB619" s="48"/>
      <c r="BC619" s="12"/>
      <c r="BD619" s="12"/>
    </row>
    <row r="620" spans="1:56" ht="12" customHeight="1">
      <c r="A620" s="12"/>
      <c r="B620" s="47"/>
      <c r="C620" s="12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  <c r="AX620" s="48"/>
      <c r="AY620" s="48"/>
      <c r="AZ620" s="48"/>
      <c r="BA620" s="48"/>
      <c r="BB620" s="48"/>
      <c r="BC620" s="12"/>
      <c r="BD620" s="12"/>
    </row>
    <row r="621" spans="1:56" ht="12" customHeight="1">
      <c r="A621" s="12"/>
      <c r="B621" s="47"/>
      <c r="C621" s="12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  <c r="AX621" s="48"/>
      <c r="AY621" s="48"/>
      <c r="AZ621" s="48"/>
      <c r="BA621" s="48"/>
      <c r="BB621" s="48"/>
      <c r="BC621" s="12"/>
      <c r="BD621" s="12"/>
    </row>
    <row r="622" spans="1:56" ht="12" customHeight="1">
      <c r="A622" s="12"/>
      <c r="B622" s="47"/>
      <c r="C622" s="12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12"/>
      <c r="BD622" s="12"/>
    </row>
    <row r="623" spans="1:56" ht="12" customHeight="1">
      <c r="A623" s="12"/>
      <c r="B623" s="47"/>
      <c r="C623" s="12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  <c r="AX623" s="48"/>
      <c r="AY623" s="48"/>
      <c r="AZ623" s="48"/>
      <c r="BA623" s="48"/>
      <c r="BB623" s="48"/>
      <c r="BC623" s="12"/>
      <c r="BD623" s="12"/>
    </row>
    <row r="624" spans="1:56" ht="12" customHeight="1">
      <c r="A624" s="12"/>
      <c r="B624" s="47"/>
      <c r="C624" s="12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12"/>
      <c r="BD624" s="12"/>
    </row>
    <row r="625" spans="1:56" ht="12" customHeight="1">
      <c r="A625" s="12"/>
      <c r="B625" s="47"/>
      <c r="C625" s="12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12"/>
      <c r="BD625" s="12"/>
    </row>
    <row r="626" spans="1:56" ht="12" customHeight="1">
      <c r="A626" s="12"/>
      <c r="B626" s="47"/>
      <c r="C626" s="12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  <c r="AX626" s="48"/>
      <c r="AY626" s="48"/>
      <c r="AZ626" s="48"/>
      <c r="BA626" s="48"/>
      <c r="BB626" s="48"/>
      <c r="BC626" s="12"/>
      <c r="BD626" s="12"/>
    </row>
    <row r="627" spans="1:56" ht="12" customHeight="1">
      <c r="A627" s="12"/>
      <c r="B627" s="47"/>
      <c r="C627" s="12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  <c r="AX627" s="48"/>
      <c r="AY627" s="48"/>
      <c r="AZ627" s="48"/>
      <c r="BA627" s="48"/>
      <c r="BB627" s="48"/>
      <c r="BC627" s="12"/>
      <c r="BD627" s="12"/>
    </row>
    <row r="628" spans="1:56" ht="12" customHeight="1">
      <c r="A628" s="12"/>
      <c r="B628" s="47"/>
      <c r="C628" s="12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  <c r="AX628" s="48"/>
      <c r="AY628" s="48"/>
      <c r="AZ628" s="48"/>
      <c r="BA628" s="48"/>
      <c r="BB628" s="48"/>
      <c r="BC628" s="12"/>
      <c r="BD628" s="12"/>
    </row>
    <row r="629" spans="1:56" ht="12" customHeight="1">
      <c r="A629" s="12"/>
      <c r="B629" s="47"/>
      <c r="C629" s="12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  <c r="AX629" s="48"/>
      <c r="AY629" s="48"/>
      <c r="AZ629" s="48"/>
      <c r="BA629" s="48"/>
      <c r="BB629" s="48"/>
      <c r="BC629" s="12"/>
      <c r="BD629" s="12"/>
    </row>
    <row r="630" spans="1:56" ht="12" customHeight="1">
      <c r="A630" s="12"/>
      <c r="B630" s="47"/>
      <c r="C630" s="12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12"/>
      <c r="BD630" s="12"/>
    </row>
    <row r="631" spans="1:56" ht="12" customHeight="1">
      <c r="A631" s="12"/>
      <c r="B631" s="47"/>
      <c r="C631" s="12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12"/>
      <c r="BD631" s="12"/>
    </row>
    <row r="632" spans="1:56" ht="12" customHeight="1">
      <c r="A632" s="12"/>
      <c r="B632" s="47"/>
      <c r="C632" s="12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  <c r="AX632" s="48"/>
      <c r="AY632" s="48"/>
      <c r="AZ632" s="48"/>
      <c r="BA632" s="48"/>
      <c r="BB632" s="48"/>
      <c r="BC632" s="12"/>
      <c r="BD632" s="12"/>
    </row>
    <row r="633" spans="1:56" ht="12" customHeight="1">
      <c r="A633" s="12"/>
      <c r="B633" s="47"/>
      <c r="C633" s="12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  <c r="AX633" s="48"/>
      <c r="AY633" s="48"/>
      <c r="AZ633" s="48"/>
      <c r="BA633" s="48"/>
      <c r="BB633" s="48"/>
      <c r="BC633" s="12"/>
      <c r="BD633" s="12"/>
    </row>
    <row r="634" spans="1:56" ht="12" customHeight="1">
      <c r="A634" s="12"/>
      <c r="B634" s="47"/>
      <c r="C634" s="12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12"/>
      <c r="BD634" s="12"/>
    </row>
    <row r="635" spans="1:56" ht="12" customHeight="1">
      <c r="A635" s="12"/>
      <c r="B635" s="47"/>
      <c r="C635" s="12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  <c r="AX635" s="48"/>
      <c r="AY635" s="48"/>
      <c r="AZ635" s="48"/>
      <c r="BA635" s="48"/>
      <c r="BB635" s="48"/>
      <c r="BC635" s="12"/>
      <c r="BD635" s="12"/>
    </row>
    <row r="636" spans="1:56" ht="12" customHeight="1">
      <c r="A636" s="12"/>
      <c r="B636" s="47"/>
      <c r="C636" s="12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/>
      <c r="BB636" s="48"/>
      <c r="BC636" s="12"/>
      <c r="BD636" s="12"/>
    </row>
    <row r="637" spans="1:56" ht="12" customHeight="1">
      <c r="A637" s="12"/>
      <c r="B637" s="47"/>
      <c r="C637" s="12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12"/>
      <c r="BD637" s="12"/>
    </row>
    <row r="638" spans="1:56" ht="12" customHeight="1">
      <c r="A638" s="12"/>
      <c r="B638" s="47"/>
      <c r="C638" s="12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12"/>
      <c r="BD638" s="12"/>
    </row>
    <row r="639" spans="1:56" ht="12" customHeight="1">
      <c r="A639" s="12"/>
      <c r="B639" s="47"/>
      <c r="C639" s="12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12"/>
      <c r="BD639" s="12"/>
    </row>
    <row r="640" spans="1:56" ht="12" customHeight="1">
      <c r="A640" s="12"/>
      <c r="B640" s="47"/>
      <c r="C640" s="12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12"/>
      <c r="BD640" s="12"/>
    </row>
    <row r="641" spans="1:56" ht="12" customHeight="1">
      <c r="A641" s="12"/>
      <c r="B641" s="47"/>
      <c r="C641" s="12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12"/>
      <c r="BD641" s="12"/>
    </row>
    <row r="642" spans="1:56" ht="12" customHeight="1">
      <c r="A642" s="12"/>
      <c r="B642" s="47"/>
      <c r="C642" s="12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  <c r="AX642" s="48"/>
      <c r="AY642" s="48"/>
      <c r="AZ642" s="48"/>
      <c r="BA642" s="48"/>
      <c r="BB642" s="48"/>
      <c r="BC642" s="12"/>
      <c r="BD642" s="12"/>
    </row>
    <row r="643" spans="1:56" ht="12" customHeight="1">
      <c r="A643" s="12"/>
      <c r="B643" s="47"/>
      <c r="C643" s="12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12"/>
      <c r="BD643" s="12"/>
    </row>
    <row r="644" spans="1:56" ht="12" customHeight="1">
      <c r="A644" s="12"/>
      <c r="B644" s="47"/>
      <c r="C644" s="12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  <c r="AX644" s="48"/>
      <c r="AY644" s="48"/>
      <c r="AZ644" s="48"/>
      <c r="BA644" s="48"/>
      <c r="BB644" s="48"/>
      <c r="BC644" s="12"/>
      <c r="BD644" s="12"/>
    </row>
    <row r="645" spans="1:56" ht="12" customHeight="1">
      <c r="A645" s="12"/>
      <c r="B645" s="47"/>
      <c r="C645" s="12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  <c r="AX645" s="48"/>
      <c r="AY645" s="48"/>
      <c r="AZ645" s="48"/>
      <c r="BA645" s="48"/>
      <c r="BB645" s="48"/>
      <c r="BC645" s="12"/>
      <c r="BD645" s="12"/>
    </row>
    <row r="646" spans="1:56" ht="12" customHeight="1">
      <c r="A646" s="12"/>
      <c r="B646" s="47"/>
      <c r="C646" s="12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12"/>
      <c r="BD646" s="12"/>
    </row>
    <row r="647" spans="1:56" ht="12" customHeight="1">
      <c r="A647" s="12"/>
      <c r="B647" s="47"/>
      <c r="C647" s="12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/>
      <c r="BB647" s="48"/>
      <c r="BC647" s="12"/>
      <c r="BD647" s="12"/>
    </row>
    <row r="648" spans="1:56" ht="12" customHeight="1">
      <c r="A648" s="12"/>
      <c r="B648" s="47"/>
      <c r="C648" s="12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12"/>
      <c r="BD648" s="12"/>
    </row>
    <row r="649" spans="1:56" ht="12" customHeight="1">
      <c r="A649" s="12"/>
      <c r="B649" s="47"/>
      <c r="C649" s="12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12"/>
      <c r="BD649" s="12"/>
    </row>
    <row r="650" spans="1:56" ht="12" customHeight="1">
      <c r="A650" s="12"/>
      <c r="B650" s="47"/>
      <c r="C650" s="12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12"/>
      <c r="BD650" s="12"/>
    </row>
    <row r="651" spans="1:56" ht="12" customHeight="1">
      <c r="A651" s="12"/>
      <c r="B651" s="47"/>
      <c r="C651" s="12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12"/>
      <c r="BD651" s="12"/>
    </row>
    <row r="652" spans="1:56" ht="12" customHeight="1">
      <c r="A652" s="12"/>
      <c r="B652" s="47"/>
      <c r="C652" s="12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12"/>
      <c r="BD652" s="12"/>
    </row>
    <row r="653" spans="1:56" ht="12" customHeight="1">
      <c r="A653" s="12"/>
      <c r="B653" s="47"/>
      <c r="C653" s="12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12"/>
      <c r="BD653" s="12"/>
    </row>
    <row r="654" spans="1:56" ht="12" customHeight="1">
      <c r="A654" s="12"/>
      <c r="B654" s="47"/>
      <c r="C654" s="12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12"/>
      <c r="BD654" s="12"/>
    </row>
    <row r="655" spans="1:56" ht="12" customHeight="1">
      <c r="A655" s="12"/>
      <c r="B655" s="47"/>
      <c r="C655" s="12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12"/>
      <c r="BD655" s="12"/>
    </row>
    <row r="656" spans="1:56" ht="12" customHeight="1">
      <c r="A656" s="12"/>
      <c r="B656" s="47"/>
      <c r="C656" s="12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12"/>
      <c r="BD656" s="12"/>
    </row>
    <row r="657" spans="1:56" ht="12" customHeight="1">
      <c r="A657" s="12"/>
      <c r="B657" s="47"/>
      <c r="C657" s="12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  <c r="AX657" s="48"/>
      <c r="AY657" s="48"/>
      <c r="AZ657" s="48"/>
      <c r="BA657" s="48"/>
      <c r="BB657" s="48"/>
      <c r="BC657" s="12"/>
      <c r="BD657" s="12"/>
    </row>
    <row r="658" spans="1:56" ht="12" customHeight="1">
      <c r="A658" s="12"/>
      <c r="B658" s="47"/>
      <c r="C658" s="12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  <c r="AX658" s="48"/>
      <c r="AY658" s="48"/>
      <c r="AZ658" s="48"/>
      <c r="BA658" s="48"/>
      <c r="BB658" s="48"/>
      <c r="BC658" s="12"/>
      <c r="BD658" s="12"/>
    </row>
    <row r="659" spans="1:56" ht="12" customHeight="1">
      <c r="A659" s="12"/>
      <c r="B659" s="47"/>
      <c r="C659" s="12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  <c r="AX659" s="48"/>
      <c r="AY659" s="48"/>
      <c r="AZ659" s="48"/>
      <c r="BA659" s="48"/>
      <c r="BB659" s="48"/>
      <c r="BC659" s="12"/>
      <c r="BD659" s="12"/>
    </row>
    <row r="660" spans="1:56" ht="12" customHeight="1">
      <c r="A660" s="12"/>
      <c r="B660" s="47"/>
      <c r="C660" s="12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  <c r="AX660" s="48"/>
      <c r="AY660" s="48"/>
      <c r="AZ660" s="48"/>
      <c r="BA660" s="48"/>
      <c r="BB660" s="48"/>
      <c r="BC660" s="12"/>
      <c r="BD660" s="12"/>
    </row>
    <row r="661" spans="1:56" ht="12" customHeight="1">
      <c r="A661" s="12"/>
      <c r="B661" s="47"/>
      <c r="C661" s="12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  <c r="AX661" s="48"/>
      <c r="AY661" s="48"/>
      <c r="AZ661" s="48"/>
      <c r="BA661" s="48"/>
      <c r="BB661" s="48"/>
      <c r="BC661" s="12"/>
      <c r="BD661" s="12"/>
    </row>
    <row r="662" spans="1:56" ht="12" customHeight="1">
      <c r="A662" s="12"/>
      <c r="B662" s="47"/>
      <c r="C662" s="12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12"/>
      <c r="BD662" s="12"/>
    </row>
    <row r="663" spans="1:56" ht="12" customHeight="1">
      <c r="A663" s="12"/>
      <c r="B663" s="47"/>
      <c r="C663" s="12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  <c r="AX663" s="48"/>
      <c r="AY663" s="48"/>
      <c r="AZ663" s="48"/>
      <c r="BA663" s="48"/>
      <c r="BB663" s="48"/>
      <c r="BC663" s="12"/>
      <c r="BD663" s="12"/>
    </row>
    <row r="664" spans="1:56" ht="12" customHeight="1">
      <c r="A664" s="12"/>
      <c r="B664" s="47"/>
      <c r="C664" s="12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12"/>
      <c r="BD664" s="12"/>
    </row>
    <row r="665" spans="1:56" ht="12" customHeight="1">
      <c r="A665" s="12"/>
      <c r="B665" s="47"/>
      <c r="C665" s="12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  <c r="AX665" s="48"/>
      <c r="AY665" s="48"/>
      <c r="AZ665" s="48"/>
      <c r="BA665" s="48"/>
      <c r="BB665" s="48"/>
      <c r="BC665" s="12"/>
      <c r="BD665" s="12"/>
    </row>
    <row r="666" spans="1:56" ht="12" customHeight="1">
      <c r="A666" s="12"/>
      <c r="B666" s="47"/>
      <c r="C666" s="12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  <c r="AX666" s="48"/>
      <c r="AY666" s="48"/>
      <c r="AZ666" s="48"/>
      <c r="BA666" s="48"/>
      <c r="BB666" s="48"/>
      <c r="BC666" s="12"/>
      <c r="BD666" s="12"/>
    </row>
    <row r="667" spans="1:56" ht="12" customHeight="1">
      <c r="A667" s="12"/>
      <c r="B667" s="47"/>
      <c r="C667" s="12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  <c r="AX667" s="48"/>
      <c r="AY667" s="48"/>
      <c r="AZ667" s="48"/>
      <c r="BA667" s="48"/>
      <c r="BB667" s="48"/>
      <c r="BC667" s="12"/>
      <c r="BD667" s="12"/>
    </row>
    <row r="668" spans="1:56" ht="12" customHeight="1">
      <c r="A668" s="12"/>
      <c r="B668" s="47"/>
      <c r="C668" s="12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  <c r="AX668" s="48"/>
      <c r="AY668" s="48"/>
      <c r="AZ668" s="48"/>
      <c r="BA668" s="48"/>
      <c r="BB668" s="48"/>
      <c r="BC668" s="12"/>
      <c r="BD668" s="12"/>
    </row>
    <row r="669" spans="1:56" ht="12" customHeight="1">
      <c r="A669" s="12"/>
      <c r="B669" s="47"/>
      <c r="C669" s="12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  <c r="AX669" s="48"/>
      <c r="AY669" s="48"/>
      <c r="AZ669" s="48"/>
      <c r="BA669" s="48"/>
      <c r="BB669" s="48"/>
      <c r="BC669" s="12"/>
      <c r="BD669" s="12"/>
    </row>
    <row r="670" spans="1:56" ht="12" customHeight="1">
      <c r="A670" s="12"/>
      <c r="B670" s="47"/>
      <c r="C670" s="12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12"/>
      <c r="BD670" s="12"/>
    </row>
    <row r="671" spans="1:56" ht="12" customHeight="1">
      <c r="A671" s="12"/>
      <c r="B671" s="47"/>
      <c r="C671" s="12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  <c r="AX671" s="48"/>
      <c r="AY671" s="48"/>
      <c r="AZ671" s="48"/>
      <c r="BA671" s="48"/>
      <c r="BB671" s="48"/>
      <c r="BC671" s="12"/>
      <c r="BD671" s="12"/>
    </row>
    <row r="672" spans="1:56" ht="12" customHeight="1">
      <c r="A672" s="12"/>
      <c r="B672" s="47"/>
      <c r="C672" s="12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  <c r="AX672" s="48"/>
      <c r="AY672" s="48"/>
      <c r="AZ672" s="48"/>
      <c r="BA672" s="48"/>
      <c r="BB672" s="48"/>
      <c r="BC672" s="12"/>
      <c r="BD672" s="12"/>
    </row>
    <row r="673" spans="1:56" ht="12" customHeight="1">
      <c r="A673" s="12"/>
      <c r="B673" s="47"/>
      <c r="C673" s="12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  <c r="AX673" s="48"/>
      <c r="AY673" s="48"/>
      <c r="AZ673" s="48"/>
      <c r="BA673" s="48"/>
      <c r="BB673" s="48"/>
      <c r="BC673" s="12"/>
      <c r="BD673" s="12"/>
    </row>
    <row r="674" spans="1:56" ht="12" customHeight="1">
      <c r="A674" s="12"/>
      <c r="B674" s="47"/>
      <c r="C674" s="12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  <c r="AX674" s="48"/>
      <c r="AY674" s="48"/>
      <c r="AZ674" s="48"/>
      <c r="BA674" s="48"/>
      <c r="BB674" s="48"/>
      <c r="BC674" s="12"/>
      <c r="BD674" s="12"/>
    </row>
    <row r="675" spans="1:56" ht="12" customHeight="1">
      <c r="A675" s="12"/>
      <c r="B675" s="47"/>
      <c r="C675" s="12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  <c r="AX675" s="48"/>
      <c r="AY675" s="48"/>
      <c r="AZ675" s="48"/>
      <c r="BA675" s="48"/>
      <c r="BB675" s="48"/>
      <c r="BC675" s="12"/>
      <c r="BD675" s="12"/>
    </row>
    <row r="676" spans="1:56" ht="12" customHeight="1">
      <c r="A676" s="12"/>
      <c r="B676" s="47"/>
      <c r="C676" s="12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12"/>
      <c r="BD676" s="12"/>
    </row>
    <row r="677" spans="1:56" ht="12" customHeight="1">
      <c r="A677" s="12"/>
      <c r="B677" s="47"/>
      <c r="C677" s="12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  <c r="AX677" s="48"/>
      <c r="AY677" s="48"/>
      <c r="AZ677" s="48"/>
      <c r="BA677" s="48"/>
      <c r="BB677" s="48"/>
      <c r="BC677" s="12"/>
      <c r="BD677" s="12"/>
    </row>
    <row r="678" spans="1:56" ht="12" customHeight="1">
      <c r="A678" s="12"/>
      <c r="B678" s="47"/>
      <c r="C678" s="12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  <c r="AX678" s="48"/>
      <c r="AY678" s="48"/>
      <c r="AZ678" s="48"/>
      <c r="BA678" s="48"/>
      <c r="BB678" s="48"/>
      <c r="BC678" s="12"/>
      <c r="BD678" s="12"/>
    </row>
    <row r="679" spans="1:56" ht="12" customHeight="1">
      <c r="A679" s="12"/>
      <c r="B679" s="47"/>
      <c r="C679" s="12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12"/>
      <c r="BD679" s="12"/>
    </row>
    <row r="680" spans="1:56" ht="12" customHeight="1">
      <c r="A680" s="12"/>
      <c r="B680" s="47"/>
      <c r="C680" s="12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  <c r="AX680" s="48"/>
      <c r="AY680" s="48"/>
      <c r="AZ680" s="48"/>
      <c r="BA680" s="48"/>
      <c r="BB680" s="48"/>
      <c r="BC680" s="12"/>
      <c r="BD680" s="12"/>
    </row>
    <row r="681" spans="1:56" ht="12" customHeight="1">
      <c r="A681" s="12"/>
      <c r="B681" s="47"/>
      <c r="C681" s="12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  <c r="AX681" s="48"/>
      <c r="AY681" s="48"/>
      <c r="AZ681" s="48"/>
      <c r="BA681" s="48"/>
      <c r="BB681" s="48"/>
      <c r="BC681" s="12"/>
      <c r="BD681" s="12"/>
    </row>
    <row r="682" spans="1:56" ht="12" customHeight="1">
      <c r="A682" s="12"/>
      <c r="B682" s="47"/>
      <c r="C682" s="12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12"/>
      <c r="BD682" s="12"/>
    </row>
    <row r="683" spans="1:56" ht="12" customHeight="1">
      <c r="A683" s="12"/>
      <c r="B683" s="47"/>
      <c r="C683" s="12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  <c r="AX683" s="48"/>
      <c r="AY683" s="48"/>
      <c r="AZ683" s="48"/>
      <c r="BA683" s="48"/>
      <c r="BB683" s="48"/>
      <c r="BC683" s="12"/>
      <c r="BD683" s="12"/>
    </row>
    <row r="684" spans="1:56" ht="12" customHeight="1">
      <c r="A684" s="12"/>
      <c r="B684" s="47"/>
      <c r="C684" s="12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  <c r="AX684" s="48"/>
      <c r="AY684" s="48"/>
      <c r="AZ684" s="48"/>
      <c r="BA684" s="48"/>
      <c r="BB684" s="48"/>
      <c r="BC684" s="12"/>
      <c r="BD684" s="12"/>
    </row>
    <row r="685" spans="1:56" ht="12" customHeight="1">
      <c r="A685" s="12"/>
      <c r="B685" s="47"/>
      <c r="C685" s="12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  <c r="AX685" s="48"/>
      <c r="AY685" s="48"/>
      <c r="AZ685" s="48"/>
      <c r="BA685" s="48"/>
      <c r="BB685" s="48"/>
      <c r="BC685" s="12"/>
      <c r="BD685" s="12"/>
    </row>
    <row r="686" spans="1:56" ht="12" customHeight="1">
      <c r="A686" s="12"/>
      <c r="B686" s="47"/>
      <c r="C686" s="12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  <c r="AX686" s="48"/>
      <c r="AY686" s="48"/>
      <c r="AZ686" s="48"/>
      <c r="BA686" s="48"/>
      <c r="BB686" s="48"/>
      <c r="BC686" s="12"/>
      <c r="BD686" s="12"/>
    </row>
    <row r="687" spans="1:56" ht="12" customHeight="1">
      <c r="A687" s="12"/>
      <c r="B687" s="47"/>
      <c r="C687" s="12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  <c r="AX687" s="48"/>
      <c r="AY687" s="48"/>
      <c r="AZ687" s="48"/>
      <c r="BA687" s="48"/>
      <c r="BB687" s="48"/>
      <c r="BC687" s="12"/>
      <c r="BD687" s="12"/>
    </row>
    <row r="688" spans="1:56" ht="12" customHeight="1">
      <c r="A688" s="12"/>
      <c r="B688" s="47"/>
      <c r="C688" s="12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  <c r="AX688" s="48"/>
      <c r="AY688" s="48"/>
      <c r="AZ688" s="48"/>
      <c r="BA688" s="48"/>
      <c r="BB688" s="48"/>
      <c r="BC688" s="12"/>
      <c r="BD688" s="12"/>
    </row>
    <row r="689" spans="1:56" ht="12" customHeight="1">
      <c r="A689" s="12"/>
      <c r="B689" s="47"/>
      <c r="C689" s="12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  <c r="AX689" s="48"/>
      <c r="AY689" s="48"/>
      <c r="AZ689" s="48"/>
      <c r="BA689" s="48"/>
      <c r="BB689" s="48"/>
      <c r="BC689" s="12"/>
      <c r="BD689" s="12"/>
    </row>
    <row r="690" spans="1:56" ht="12" customHeight="1">
      <c r="A690" s="12"/>
      <c r="B690" s="47"/>
      <c r="C690" s="12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  <c r="AX690" s="48"/>
      <c r="AY690" s="48"/>
      <c r="AZ690" s="48"/>
      <c r="BA690" s="48"/>
      <c r="BB690" s="48"/>
      <c r="BC690" s="12"/>
      <c r="BD690" s="12"/>
    </row>
    <row r="691" spans="1:56" ht="12" customHeight="1">
      <c r="A691" s="12"/>
      <c r="B691" s="47"/>
      <c r="C691" s="12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  <c r="AX691" s="48"/>
      <c r="AY691" s="48"/>
      <c r="AZ691" s="48"/>
      <c r="BA691" s="48"/>
      <c r="BB691" s="48"/>
      <c r="BC691" s="12"/>
      <c r="BD691" s="12"/>
    </row>
    <row r="692" spans="1:56" ht="12" customHeight="1">
      <c r="A692" s="12"/>
      <c r="B692" s="47"/>
      <c r="C692" s="12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  <c r="AX692" s="48"/>
      <c r="AY692" s="48"/>
      <c r="AZ692" s="48"/>
      <c r="BA692" s="48"/>
      <c r="BB692" s="48"/>
      <c r="BC692" s="12"/>
      <c r="BD692" s="12"/>
    </row>
    <row r="693" spans="1:56" ht="12" customHeight="1">
      <c r="A693" s="12"/>
      <c r="B693" s="47"/>
      <c r="C693" s="12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  <c r="AX693" s="48"/>
      <c r="AY693" s="48"/>
      <c r="AZ693" s="48"/>
      <c r="BA693" s="48"/>
      <c r="BB693" s="48"/>
      <c r="BC693" s="12"/>
      <c r="BD693" s="12"/>
    </row>
    <row r="694" spans="1:56" ht="12" customHeight="1">
      <c r="A694" s="12"/>
      <c r="B694" s="47"/>
      <c r="C694" s="12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12"/>
      <c r="BD694" s="12"/>
    </row>
    <row r="695" spans="1:56" ht="12" customHeight="1">
      <c r="A695" s="12"/>
      <c r="B695" s="47"/>
      <c r="C695" s="12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  <c r="AX695" s="48"/>
      <c r="AY695" s="48"/>
      <c r="AZ695" s="48"/>
      <c r="BA695" s="48"/>
      <c r="BB695" s="48"/>
      <c r="BC695" s="12"/>
      <c r="BD695" s="12"/>
    </row>
    <row r="696" spans="1:56" ht="12" customHeight="1">
      <c r="A696" s="12"/>
      <c r="B696" s="47"/>
      <c r="C696" s="12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  <c r="AX696" s="48"/>
      <c r="AY696" s="48"/>
      <c r="AZ696" s="48"/>
      <c r="BA696" s="48"/>
      <c r="BB696" s="48"/>
      <c r="BC696" s="12"/>
      <c r="BD696" s="12"/>
    </row>
    <row r="697" spans="1:56" ht="12" customHeight="1">
      <c r="A697" s="12"/>
      <c r="B697" s="47"/>
      <c r="C697" s="12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  <c r="AX697" s="48"/>
      <c r="AY697" s="48"/>
      <c r="AZ697" s="48"/>
      <c r="BA697" s="48"/>
      <c r="BB697" s="48"/>
      <c r="BC697" s="12"/>
      <c r="BD697" s="12"/>
    </row>
    <row r="698" spans="1:56" ht="12" customHeight="1">
      <c r="A698" s="12"/>
      <c r="B698" s="47"/>
      <c r="C698" s="12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  <c r="AX698" s="48"/>
      <c r="AY698" s="48"/>
      <c r="AZ698" s="48"/>
      <c r="BA698" s="48"/>
      <c r="BB698" s="48"/>
      <c r="BC698" s="12"/>
      <c r="BD698" s="12"/>
    </row>
    <row r="699" spans="1:56" ht="12" customHeight="1">
      <c r="A699" s="12"/>
      <c r="B699" s="47"/>
      <c r="C699" s="12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  <c r="AX699" s="48"/>
      <c r="AY699" s="48"/>
      <c r="AZ699" s="48"/>
      <c r="BA699" s="48"/>
      <c r="BB699" s="48"/>
      <c r="BC699" s="12"/>
      <c r="BD699" s="12"/>
    </row>
    <row r="700" spans="1:56" ht="12" customHeight="1">
      <c r="A700" s="12"/>
      <c r="B700" s="47"/>
      <c r="C700" s="12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  <c r="AX700" s="48"/>
      <c r="AY700" s="48"/>
      <c r="AZ700" s="48"/>
      <c r="BA700" s="48"/>
      <c r="BB700" s="48"/>
      <c r="BC700" s="12"/>
      <c r="BD700" s="12"/>
    </row>
    <row r="701" spans="1:56" ht="12" customHeight="1">
      <c r="A701" s="12"/>
      <c r="B701" s="47"/>
      <c r="C701" s="12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  <c r="AX701" s="48"/>
      <c r="AY701" s="48"/>
      <c r="AZ701" s="48"/>
      <c r="BA701" s="48"/>
      <c r="BB701" s="48"/>
      <c r="BC701" s="12"/>
      <c r="BD701" s="12"/>
    </row>
    <row r="702" spans="1:56" ht="12" customHeight="1">
      <c r="A702" s="12"/>
      <c r="B702" s="47"/>
      <c r="C702" s="12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/>
      <c r="BB702" s="48"/>
      <c r="BC702" s="12"/>
      <c r="BD702" s="12"/>
    </row>
    <row r="703" spans="1:56" ht="12" customHeight="1">
      <c r="A703" s="12"/>
      <c r="B703" s="47"/>
      <c r="C703" s="12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  <c r="AX703" s="48"/>
      <c r="AY703" s="48"/>
      <c r="AZ703" s="48"/>
      <c r="BA703" s="48"/>
      <c r="BB703" s="48"/>
      <c r="BC703" s="12"/>
      <c r="BD703" s="12"/>
    </row>
    <row r="704" spans="1:56" ht="12" customHeight="1">
      <c r="A704" s="12"/>
      <c r="B704" s="47"/>
      <c r="C704" s="12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  <c r="AX704" s="48"/>
      <c r="AY704" s="48"/>
      <c r="AZ704" s="48"/>
      <c r="BA704" s="48"/>
      <c r="BB704" s="48"/>
      <c r="BC704" s="12"/>
      <c r="BD704" s="12"/>
    </row>
    <row r="705" spans="1:56" ht="12" customHeight="1">
      <c r="A705" s="12"/>
      <c r="B705" s="47"/>
      <c r="C705" s="12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  <c r="AX705" s="48"/>
      <c r="AY705" s="48"/>
      <c r="AZ705" s="48"/>
      <c r="BA705" s="48"/>
      <c r="BB705" s="48"/>
      <c r="BC705" s="12"/>
      <c r="BD705" s="12"/>
    </row>
    <row r="706" spans="1:56" ht="12" customHeight="1">
      <c r="A706" s="12"/>
      <c r="B706" s="47"/>
      <c r="C706" s="12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12"/>
      <c r="BD706" s="12"/>
    </row>
    <row r="707" spans="1:56" ht="12" customHeight="1">
      <c r="A707" s="12"/>
      <c r="B707" s="47"/>
      <c r="C707" s="12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  <c r="AX707" s="48"/>
      <c r="AY707" s="48"/>
      <c r="AZ707" s="48"/>
      <c r="BA707" s="48"/>
      <c r="BB707" s="48"/>
      <c r="BC707" s="12"/>
      <c r="BD707" s="12"/>
    </row>
    <row r="708" spans="1:56" ht="12" customHeight="1">
      <c r="A708" s="12"/>
      <c r="B708" s="47"/>
      <c r="C708" s="12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12"/>
      <c r="BD708" s="12"/>
    </row>
    <row r="709" spans="1:56" ht="12" customHeight="1">
      <c r="A709" s="12"/>
      <c r="B709" s="47"/>
      <c r="C709" s="12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12"/>
      <c r="BD709" s="12"/>
    </row>
    <row r="710" spans="1:56" ht="12" customHeight="1">
      <c r="A710" s="12"/>
      <c r="B710" s="47"/>
      <c r="C710" s="12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  <c r="AX710" s="48"/>
      <c r="AY710" s="48"/>
      <c r="AZ710" s="48"/>
      <c r="BA710" s="48"/>
      <c r="BB710" s="48"/>
      <c r="BC710" s="12"/>
      <c r="BD710" s="12"/>
    </row>
    <row r="711" spans="1:56" ht="12" customHeight="1">
      <c r="A711" s="12"/>
      <c r="B711" s="47"/>
      <c r="C711" s="12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  <c r="AX711" s="48"/>
      <c r="AY711" s="48"/>
      <c r="AZ711" s="48"/>
      <c r="BA711" s="48"/>
      <c r="BB711" s="48"/>
      <c r="BC711" s="12"/>
      <c r="BD711" s="12"/>
    </row>
    <row r="712" spans="1:56" ht="12" customHeight="1">
      <c r="A712" s="12"/>
      <c r="B712" s="47"/>
      <c r="C712" s="12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12"/>
      <c r="BD712" s="12"/>
    </row>
    <row r="713" spans="1:56" ht="12" customHeight="1">
      <c r="A713" s="12"/>
      <c r="B713" s="47"/>
      <c r="C713" s="12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  <c r="AX713" s="48"/>
      <c r="AY713" s="48"/>
      <c r="AZ713" s="48"/>
      <c r="BA713" s="48"/>
      <c r="BB713" s="48"/>
      <c r="BC713" s="12"/>
      <c r="BD713" s="12"/>
    </row>
    <row r="714" spans="1:56" ht="12" customHeight="1">
      <c r="A714" s="12"/>
      <c r="B714" s="47"/>
      <c r="C714" s="12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  <c r="AX714" s="48"/>
      <c r="AY714" s="48"/>
      <c r="AZ714" s="48"/>
      <c r="BA714" s="48"/>
      <c r="BB714" s="48"/>
      <c r="BC714" s="12"/>
      <c r="BD714" s="12"/>
    </row>
    <row r="715" spans="1:56" ht="12" customHeight="1">
      <c r="A715" s="12"/>
      <c r="B715" s="47"/>
      <c r="C715" s="12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12"/>
      <c r="BD715" s="12"/>
    </row>
    <row r="716" spans="1:56" ht="12" customHeight="1">
      <c r="A716" s="12"/>
      <c r="B716" s="47"/>
      <c r="C716" s="12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12"/>
      <c r="BD716" s="12"/>
    </row>
    <row r="717" spans="1:56" ht="12" customHeight="1">
      <c r="A717" s="12"/>
      <c r="B717" s="47"/>
      <c r="C717" s="12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  <c r="AX717" s="48"/>
      <c r="AY717" s="48"/>
      <c r="AZ717" s="48"/>
      <c r="BA717" s="48"/>
      <c r="BB717" s="48"/>
      <c r="BC717" s="12"/>
      <c r="BD717" s="12"/>
    </row>
    <row r="718" spans="1:56" ht="12" customHeight="1">
      <c r="A718" s="12"/>
      <c r="B718" s="47"/>
      <c r="C718" s="12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  <c r="AX718" s="48"/>
      <c r="AY718" s="48"/>
      <c r="AZ718" s="48"/>
      <c r="BA718" s="48"/>
      <c r="BB718" s="48"/>
      <c r="BC718" s="12"/>
      <c r="BD718" s="12"/>
    </row>
    <row r="719" spans="1:56" ht="12" customHeight="1">
      <c r="A719" s="12"/>
      <c r="B719" s="47"/>
      <c r="C719" s="12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  <c r="AX719" s="48"/>
      <c r="AY719" s="48"/>
      <c r="AZ719" s="48"/>
      <c r="BA719" s="48"/>
      <c r="BB719" s="48"/>
      <c r="BC719" s="12"/>
      <c r="BD719" s="12"/>
    </row>
    <row r="720" spans="1:56" ht="12" customHeight="1">
      <c r="A720" s="12"/>
      <c r="B720" s="47"/>
      <c r="C720" s="12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  <c r="AX720" s="48"/>
      <c r="AY720" s="48"/>
      <c r="AZ720" s="48"/>
      <c r="BA720" s="48"/>
      <c r="BB720" s="48"/>
      <c r="BC720" s="12"/>
      <c r="BD720" s="12"/>
    </row>
    <row r="721" spans="1:56" ht="12" customHeight="1">
      <c r="A721" s="12"/>
      <c r="B721" s="47"/>
      <c r="C721" s="12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  <c r="AX721" s="48"/>
      <c r="AY721" s="48"/>
      <c r="AZ721" s="48"/>
      <c r="BA721" s="48"/>
      <c r="BB721" s="48"/>
      <c r="BC721" s="12"/>
      <c r="BD721" s="12"/>
    </row>
    <row r="722" spans="1:56" ht="12" customHeight="1">
      <c r="A722" s="12"/>
      <c r="B722" s="47"/>
      <c r="C722" s="12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  <c r="AX722" s="48"/>
      <c r="AY722" s="48"/>
      <c r="AZ722" s="48"/>
      <c r="BA722" s="48"/>
      <c r="BB722" s="48"/>
      <c r="BC722" s="12"/>
      <c r="BD722" s="12"/>
    </row>
    <row r="723" spans="1:56" ht="12" customHeight="1">
      <c r="A723" s="12"/>
      <c r="B723" s="47"/>
      <c r="C723" s="12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  <c r="AX723" s="48"/>
      <c r="AY723" s="48"/>
      <c r="AZ723" s="48"/>
      <c r="BA723" s="48"/>
      <c r="BB723" s="48"/>
      <c r="BC723" s="12"/>
      <c r="BD723" s="12"/>
    </row>
    <row r="724" spans="1:56" ht="12" customHeight="1">
      <c r="A724" s="12"/>
      <c r="B724" s="47"/>
      <c r="C724" s="12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  <c r="AX724" s="48"/>
      <c r="AY724" s="48"/>
      <c r="AZ724" s="48"/>
      <c r="BA724" s="48"/>
      <c r="BB724" s="48"/>
      <c r="BC724" s="12"/>
      <c r="BD724" s="12"/>
    </row>
    <row r="725" spans="1:56" ht="12" customHeight="1">
      <c r="A725" s="12"/>
      <c r="B725" s="47"/>
      <c r="C725" s="12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  <c r="AX725" s="48"/>
      <c r="AY725" s="48"/>
      <c r="AZ725" s="48"/>
      <c r="BA725" s="48"/>
      <c r="BB725" s="48"/>
      <c r="BC725" s="12"/>
      <c r="BD725" s="12"/>
    </row>
    <row r="726" spans="1:56" ht="12" customHeight="1">
      <c r="A726" s="12"/>
      <c r="B726" s="47"/>
      <c r="C726" s="12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  <c r="AX726" s="48"/>
      <c r="AY726" s="48"/>
      <c r="AZ726" s="48"/>
      <c r="BA726" s="48"/>
      <c r="BB726" s="48"/>
      <c r="BC726" s="12"/>
      <c r="BD726" s="12"/>
    </row>
    <row r="727" spans="1:56" ht="12" customHeight="1">
      <c r="A727" s="12"/>
      <c r="B727" s="47"/>
      <c r="C727" s="12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  <c r="AX727" s="48"/>
      <c r="AY727" s="48"/>
      <c r="AZ727" s="48"/>
      <c r="BA727" s="48"/>
      <c r="BB727" s="48"/>
      <c r="BC727" s="12"/>
      <c r="BD727" s="12"/>
    </row>
    <row r="728" spans="1:56" ht="12" customHeight="1">
      <c r="A728" s="12"/>
      <c r="B728" s="47"/>
      <c r="C728" s="12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12"/>
      <c r="BD728" s="12"/>
    </row>
    <row r="729" spans="1:56" ht="12" customHeight="1">
      <c r="A729" s="12"/>
      <c r="B729" s="47"/>
      <c r="C729" s="12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  <c r="AX729" s="48"/>
      <c r="AY729" s="48"/>
      <c r="AZ729" s="48"/>
      <c r="BA729" s="48"/>
      <c r="BB729" s="48"/>
      <c r="BC729" s="12"/>
      <c r="BD729" s="12"/>
    </row>
    <row r="730" spans="1:56" ht="12" customHeight="1">
      <c r="A730" s="12"/>
      <c r="B730" s="47"/>
      <c r="C730" s="12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12"/>
      <c r="BD730" s="12"/>
    </row>
    <row r="731" spans="1:56" ht="12" customHeight="1">
      <c r="A731" s="12"/>
      <c r="B731" s="47"/>
      <c r="C731" s="12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  <c r="AX731" s="48"/>
      <c r="AY731" s="48"/>
      <c r="AZ731" s="48"/>
      <c r="BA731" s="48"/>
      <c r="BB731" s="48"/>
      <c r="BC731" s="12"/>
      <c r="BD731" s="12"/>
    </row>
    <row r="732" spans="1:56" ht="12" customHeight="1">
      <c r="A732" s="12"/>
      <c r="B732" s="47"/>
      <c r="C732" s="12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  <c r="AX732" s="48"/>
      <c r="AY732" s="48"/>
      <c r="AZ732" s="48"/>
      <c r="BA732" s="48"/>
      <c r="BB732" s="48"/>
      <c r="BC732" s="12"/>
      <c r="BD732" s="12"/>
    </row>
    <row r="733" spans="1:56" ht="12" customHeight="1">
      <c r="A733" s="12"/>
      <c r="B733" s="47"/>
      <c r="C733" s="12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12"/>
      <c r="BD733" s="12"/>
    </row>
    <row r="734" spans="1:56" ht="12" customHeight="1">
      <c r="A734" s="12"/>
      <c r="B734" s="47"/>
      <c r="C734" s="12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  <c r="AX734" s="48"/>
      <c r="AY734" s="48"/>
      <c r="AZ734" s="48"/>
      <c r="BA734" s="48"/>
      <c r="BB734" s="48"/>
      <c r="BC734" s="12"/>
      <c r="BD734" s="12"/>
    </row>
    <row r="735" spans="1:56" ht="12" customHeight="1">
      <c r="A735" s="12"/>
      <c r="B735" s="47"/>
      <c r="C735" s="12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  <c r="AX735" s="48"/>
      <c r="AY735" s="48"/>
      <c r="AZ735" s="48"/>
      <c r="BA735" s="48"/>
      <c r="BB735" s="48"/>
      <c r="BC735" s="12"/>
      <c r="BD735" s="12"/>
    </row>
    <row r="736" spans="1:56" ht="12" customHeight="1">
      <c r="A736" s="12"/>
      <c r="B736" s="47"/>
      <c r="C736" s="12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12"/>
      <c r="BD736" s="12"/>
    </row>
    <row r="737" spans="1:56" ht="12" customHeight="1">
      <c r="A737" s="12"/>
      <c r="B737" s="47"/>
      <c r="C737" s="12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  <c r="AX737" s="48"/>
      <c r="AY737" s="48"/>
      <c r="AZ737" s="48"/>
      <c r="BA737" s="48"/>
      <c r="BB737" s="48"/>
      <c r="BC737" s="12"/>
      <c r="BD737" s="12"/>
    </row>
    <row r="738" spans="1:56" ht="12" customHeight="1">
      <c r="A738" s="12"/>
      <c r="B738" s="47"/>
      <c r="C738" s="12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  <c r="AX738" s="48"/>
      <c r="AY738" s="48"/>
      <c r="AZ738" s="48"/>
      <c r="BA738" s="48"/>
      <c r="BB738" s="48"/>
      <c r="BC738" s="12"/>
      <c r="BD738" s="12"/>
    </row>
    <row r="739" spans="1:56" ht="12" customHeight="1">
      <c r="A739" s="12"/>
      <c r="B739" s="47"/>
      <c r="C739" s="12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12"/>
      <c r="BD739" s="12"/>
    </row>
    <row r="740" spans="1:56" ht="12" customHeight="1">
      <c r="A740" s="12"/>
      <c r="B740" s="47"/>
      <c r="C740" s="12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  <c r="AX740" s="48"/>
      <c r="AY740" s="48"/>
      <c r="AZ740" s="48"/>
      <c r="BA740" s="48"/>
      <c r="BB740" s="48"/>
      <c r="BC740" s="12"/>
      <c r="BD740" s="12"/>
    </row>
    <row r="741" spans="1:56" ht="12" customHeight="1">
      <c r="A741" s="12"/>
      <c r="B741" s="47"/>
      <c r="C741" s="12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  <c r="AX741" s="48"/>
      <c r="AY741" s="48"/>
      <c r="AZ741" s="48"/>
      <c r="BA741" s="48"/>
      <c r="BB741" s="48"/>
      <c r="BC741" s="12"/>
      <c r="BD741" s="12"/>
    </row>
    <row r="742" spans="1:56" ht="12" customHeight="1">
      <c r="A742" s="12"/>
      <c r="B742" s="47"/>
      <c r="C742" s="12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12"/>
      <c r="BD742" s="12"/>
    </row>
    <row r="743" spans="1:56" ht="12" customHeight="1">
      <c r="A743" s="12"/>
      <c r="B743" s="47"/>
      <c r="C743" s="12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12"/>
      <c r="BD743" s="12"/>
    </row>
    <row r="744" spans="1:56" ht="12" customHeight="1">
      <c r="A744" s="12"/>
      <c r="B744" s="47"/>
      <c r="C744" s="12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12"/>
      <c r="BD744" s="12"/>
    </row>
    <row r="745" spans="1:56" ht="12" customHeight="1">
      <c r="A745" s="12"/>
      <c r="B745" s="47"/>
      <c r="C745" s="12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  <c r="AX745" s="48"/>
      <c r="AY745" s="48"/>
      <c r="AZ745" s="48"/>
      <c r="BA745" s="48"/>
      <c r="BB745" s="48"/>
      <c r="BC745" s="12"/>
      <c r="BD745" s="12"/>
    </row>
    <row r="746" spans="1:56" ht="12" customHeight="1">
      <c r="A746" s="12"/>
      <c r="B746" s="47"/>
      <c r="C746" s="12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  <c r="AX746" s="48"/>
      <c r="AY746" s="48"/>
      <c r="AZ746" s="48"/>
      <c r="BA746" s="48"/>
      <c r="BB746" s="48"/>
      <c r="BC746" s="12"/>
      <c r="BD746" s="12"/>
    </row>
    <row r="747" spans="1:56" ht="12" customHeight="1">
      <c r="A747" s="12"/>
      <c r="B747" s="47"/>
      <c r="C747" s="12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  <c r="AX747" s="48"/>
      <c r="AY747" s="48"/>
      <c r="AZ747" s="48"/>
      <c r="BA747" s="48"/>
      <c r="BB747" s="48"/>
      <c r="BC747" s="12"/>
      <c r="BD747" s="12"/>
    </row>
    <row r="748" spans="1:56" ht="12" customHeight="1">
      <c r="A748" s="12"/>
      <c r="B748" s="47"/>
      <c r="C748" s="12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12"/>
      <c r="BD748" s="12"/>
    </row>
    <row r="749" spans="1:56" ht="12" customHeight="1">
      <c r="A749" s="12"/>
      <c r="B749" s="47"/>
      <c r="C749" s="12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  <c r="AX749" s="48"/>
      <c r="AY749" s="48"/>
      <c r="AZ749" s="48"/>
      <c r="BA749" s="48"/>
      <c r="BB749" s="48"/>
      <c r="BC749" s="12"/>
      <c r="BD749" s="12"/>
    </row>
    <row r="750" spans="1:56" ht="12" customHeight="1">
      <c r="A750" s="12"/>
      <c r="B750" s="47"/>
      <c r="C750" s="12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  <c r="AX750" s="48"/>
      <c r="AY750" s="48"/>
      <c r="AZ750" s="48"/>
      <c r="BA750" s="48"/>
      <c r="BB750" s="48"/>
      <c r="BC750" s="12"/>
      <c r="BD750" s="12"/>
    </row>
    <row r="751" spans="1:56" ht="12" customHeight="1">
      <c r="A751" s="12"/>
      <c r="B751" s="47"/>
      <c r="C751" s="12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  <c r="AX751" s="48"/>
      <c r="AY751" s="48"/>
      <c r="AZ751" s="48"/>
      <c r="BA751" s="48"/>
      <c r="BB751" s="48"/>
      <c r="BC751" s="12"/>
      <c r="BD751" s="12"/>
    </row>
    <row r="752" spans="1:56" ht="12" customHeight="1">
      <c r="A752" s="12"/>
      <c r="B752" s="47"/>
      <c r="C752" s="12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  <c r="AX752" s="48"/>
      <c r="AY752" s="48"/>
      <c r="AZ752" s="48"/>
      <c r="BA752" s="48"/>
      <c r="BB752" s="48"/>
      <c r="BC752" s="12"/>
      <c r="BD752" s="12"/>
    </row>
    <row r="753" spans="1:56" ht="12" customHeight="1">
      <c r="A753" s="12"/>
      <c r="B753" s="47"/>
      <c r="C753" s="12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  <c r="AX753" s="48"/>
      <c r="AY753" s="48"/>
      <c r="AZ753" s="48"/>
      <c r="BA753" s="48"/>
      <c r="BB753" s="48"/>
      <c r="BC753" s="12"/>
      <c r="BD753" s="12"/>
    </row>
    <row r="754" spans="1:56" ht="12" customHeight="1">
      <c r="A754" s="12"/>
      <c r="B754" s="47"/>
      <c r="C754" s="12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12"/>
      <c r="BD754" s="12"/>
    </row>
    <row r="755" spans="1:56" ht="12" customHeight="1">
      <c r="A755" s="12"/>
      <c r="B755" s="47"/>
      <c r="C755" s="12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12"/>
      <c r="BD755" s="12"/>
    </row>
    <row r="756" spans="1:56" ht="12" customHeight="1">
      <c r="A756" s="12"/>
      <c r="B756" s="47"/>
      <c r="C756" s="12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12"/>
      <c r="BD756" s="12"/>
    </row>
    <row r="757" spans="1:56" ht="12" customHeight="1">
      <c r="A757" s="12"/>
      <c r="B757" s="47"/>
      <c r="C757" s="12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12"/>
      <c r="BD757" s="12"/>
    </row>
    <row r="758" spans="1:56" ht="12" customHeight="1">
      <c r="A758" s="12"/>
      <c r="B758" s="47"/>
      <c r="C758" s="12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  <c r="AX758" s="48"/>
      <c r="AY758" s="48"/>
      <c r="AZ758" s="48"/>
      <c r="BA758" s="48"/>
      <c r="BB758" s="48"/>
      <c r="BC758" s="12"/>
      <c r="BD758" s="12"/>
    </row>
    <row r="759" spans="1:56" ht="12" customHeight="1">
      <c r="A759" s="12"/>
      <c r="B759" s="47"/>
      <c r="C759" s="12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  <c r="AX759" s="48"/>
      <c r="AY759" s="48"/>
      <c r="AZ759" s="48"/>
      <c r="BA759" s="48"/>
      <c r="BB759" s="48"/>
      <c r="BC759" s="12"/>
      <c r="BD759" s="12"/>
    </row>
    <row r="760" spans="1:56" ht="12" customHeight="1">
      <c r="A760" s="12"/>
      <c r="B760" s="47"/>
      <c r="C760" s="12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12"/>
      <c r="BD760" s="12"/>
    </row>
    <row r="761" spans="1:56" ht="12" customHeight="1">
      <c r="A761" s="12"/>
      <c r="B761" s="47"/>
      <c r="C761" s="12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  <c r="AX761" s="48"/>
      <c r="AY761" s="48"/>
      <c r="AZ761" s="48"/>
      <c r="BA761" s="48"/>
      <c r="BB761" s="48"/>
      <c r="BC761" s="12"/>
      <c r="BD761" s="12"/>
    </row>
    <row r="762" spans="1:56" ht="12" customHeight="1">
      <c r="A762" s="12"/>
      <c r="B762" s="47"/>
      <c r="C762" s="12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  <c r="AX762" s="48"/>
      <c r="AY762" s="48"/>
      <c r="AZ762" s="48"/>
      <c r="BA762" s="48"/>
      <c r="BB762" s="48"/>
      <c r="BC762" s="12"/>
      <c r="BD762" s="12"/>
    </row>
    <row r="763" spans="1:56" ht="12" customHeight="1">
      <c r="A763" s="12"/>
      <c r="B763" s="47"/>
      <c r="C763" s="12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12"/>
      <c r="BD763" s="12"/>
    </row>
    <row r="764" spans="1:56" ht="12" customHeight="1">
      <c r="A764" s="12"/>
      <c r="B764" s="47"/>
      <c r="C764" s="12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12"/>
      <c r="BD764" s="12"/>
    </row>
    <row r="765" spans="1:56" ht="12" customHeight="1">
      <c r="A765" s="12"/>
      <c r="B765" s="47"/>
      <c r="C765" s="12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  <c r="AX765" s="48"/>
      <c r="AY765" s="48"/>
      <c r="AZ765" s="48"/>
      <c r="BA765" s="48"/>
      <c r="BB765" s="48"/>
      <c r="BC765" s="12"/>
      <c r="BD765" s="12"/>
    </row>
    <row r="766" spans="1:56" ht="12" customHeight="1">
      <c r="A766" s="12"/>
      <c r="B766" s="47"/>
      <c r="C766" s="12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12"/>
      <c r="BD766" s="12"/>
    </row>
    <row r="767" spans="1:56" ht="12" customHeight="1">
      <c r="A767" s="12"/>
      <c r="B767" s="47"/>
      <c r="C767" s="12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  <c r="AX767" s="48"/>
      <c r="AY767" s="48"/>
      <c r="AZ767" s="48"/>
      <c r="BA767" s="48"/>
      <c r="BB767" s="48"/>
      <c r="BC767" s="12"/>
      <c r="BD767" s="12"/>
    </row>
    <row r="768" spans="1:56" ht="12" customHeight="1">
      <c r="A768" s="12"/>
      <c r="B768" s="47"/>
      <c r="C768" s="12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  <c r="AX768" s="48"/>
      <c r="AY768" s="48"/>
      <c r="AZ768" s="48"/>
      <c r="BA768" s="48"/>
      <c r="BB768" s="48"/>
      <c r="BC768" s="12"/>
      <c r="BD768" s="12"/>
    </row>
    <row r="769" spans="1:56" ht="12" customHeight="1">
      <c r="A769" s="12"/>
      <c r="B769" s="47"/>
      <c r="C769" s="12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  <c r="AX769" s="48"/>
      <c r="AY769" s="48"/>
      <c r="AZ769" s="48"/>
      <c r="BA769" s="48"/>
      <c r="BB769" s="48"/>
      <c r="BC769" s="12"/>
      <c r="BD769" s="12"/>
    </row>
    <row r="770" spans="1:56" ht="12" customHeight="1">
      <c r="A770" s="12"/>
      <c r="B770" s="47"/>
      <c r="C770" s="12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12"/>
      <c r="BD770" s="12"/>
    </row>
    <row r="771" spans="1:56" ht="12" customHeight="1">
      <c r="A771" s="12"/>
      <c r="B771" s="47"/>
      <c r="C771" s="12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  <c r="AX771" s="48"/>
      <c r="AY771" s="48"/>
      <c r="AZ771" s="48"/>
      <c r="BA771" s="48"/>
      <c r="BB771" s="48"/>
      <c r="BC771" s="12"/>
      <c r="BD771" s="12"/>
    </row>
    <row r="772" spans="1:56" ht="12" customHeight="1">
      <c r="A772" s="12"/>
      <c r="B772" s="47"/>
      <c r="C772" s="12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12"/>
      <c r="BD772" s="12"/>
    </row>
    <row r="773" spans="1:56" ht="12" customHeight="1">
      <c r="A773" s="12"/>
      <c r="B773" s="47"/>
      <c r="C773" s="12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  <c r="AX773" s="48"/>
      <c r="AY773" s="48"/>
      <c r="AZ773" s="48"/>
      <c r="BA773" s="48"/>
      <c r="BB773" s="48"/>
      <c r="BC773" s="12"/>
      <c r="BD773" s="12"/>
    </row>
    <row r="774" spans="1:56" ht="12" customHeight="1">
      <c r="A774" s="12"/>
      <c r="B774" s="47"/>
      <c r="C774" s="12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  <c r="AX774" s="48"/>
      <c r="AY774" s="48"/>
      <c r="AZ774" s="48"/>
      <c r="BA774" s="48"/>
      <c r="BB774" s="48"/>
      <c r="BC774" s="12"/>
      <c r="BD774" s="12"/>
    </row>
    <row r="775" spans="1:56" ht="12" customHeight="1">
      <c r="A775" s="12"/>
      <c r="B775" s="47"/>
      <c r="C775" s="12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  <c r="AX775" s="48"/>
      <c r="AY775" s="48"/>
      <c r="AZ775" s="48"/>
      <c r="BA775" s="48"/>
      <c r="BB775" s="48"/>
      <c r="BC775" s="12"/>
      <c r="BD775" s="12"/>
    </row>
    <row r="776" spans="1:56" ht="12" customHeight="1">
      <c r="A776" s="12"/>
      <c r="B776" s="47"/>
      <c r="C776" s="12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  <c r="AX776" s="48"/>
      <c r="AY776" s="48"/>
      <c r="AZ776" s="48"/>
      <c r="BA776" s="48"/>
      <c r="BB776" s="48"/>
      <c r="BC776" s="12"/>
      <c r="BD776" s="12"/>
    </row>
    <row r="777" spans="1:56" ht="12" customHeight="1">
      <c r="A777" s="12"/>
      <c r="B777" s="47"/>
      <c r="C777" s="12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  <c r="AX777" s="48"/>
      <c r="AY777" s="48"/>
      <c r="AZ777" s="48"/>
      <c r="BA777" s="48"/>
      <c r="BB777" s="48"/>
      <c r="BC777" s="12"/>
      <c r="BD777" s="12"/>
    </row>
    <row r="778" spans="1:56" ht="12" customHeight="1">
      <c r="A778" s="12"/>
      <c r="B778" s="47"/>
      <c r="C778" s="12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12"/>
      <c r="BD778" s="12"/>
    </row>
    <row r="779" spans="1:56" ht="12" customHeight="1">
      <c r="A779" s="12"/>
      <c r="B779" s="47"/>
      <c r="C779" s="12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12"/>
      <c r="BD779" s="12"/>
    </row>
    <row r="780" spans="1:56" ht="12" customHeight="1">
      <c r="A780" s="12"/>
      <c r="B780" s="47"/>
      <c r="C780" s="12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12"/>
      <c r="BD780" s="12"/>
    </row>
    <row r="781" spans="1:56" ht="12" customHeight="1">
      <c r="A781" s="12"/>
      <c r="B781" s="47"/>
      <c r="C781" s="12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  <c r="AX781" s="48"/>
      <c r="AY781" s="48"/>
      <c r="AZ781" s="48"/>
      <c r="BA781" s="48"/>
      <c r="BB781" s="48"/>
      <c r="BC781" s="12"/>
      <c r="BD781" s="12"/>
    </row>
    <row r="782" spans="1:56" ht="12" customHeight="1">
      <c r="A782" s="12"/>
      <c r="B782" s="47"/>
      <c r="C782" s="12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/>
      <c r="BB782" s="48"/>
      <c r="BC782" s="12"/>
      <c r="BD782" s="12"/>
    </row>
    <row r="783" spans="1:56" ht="12" customHeight="1">
      <c r="A783" s="12"/>
      <c r="B783" s="47"/>
      <c r="C783" s="12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  <c r="AX783" s="48"/>
      <c r="AY783" s="48"/>
      <c r="AZ783" s="48"/>
      <c r="BA783" s="48"/>
      <c r="BB783" s="48"/>
      <c r="BC783" s="12"/>
      <c r="BD783" s="12"/>
    </row>
    <row r="784" spans="1:56" ht="12" customHeight="1">
      <c r="A784" s="12"/>
      <c r="B784" s="47"/>
      <c r="C784" s="12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  <c r="AX784" s="48"/>
      <c r="AY784" s="48"/>
      <c r="AZ784" s="48"/>
      <c r="BA784" s="48"/>
      <c r="BB784" s="48"/>
      <c r="BC784" s="12"/>
      <c r="BD784" s="12"/>
    </row>
    <row r="785" spans="1:56" ht="12" customHeight="1">
      <c r="A785" s="12"/>
      <c r="B785" s="47"/>
      <c r="C785" s="12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  <c r="AX785" s="48"/>
      <c r="AY785" s="48"/>
      <c r="AZ785" s="48"/>
      <c r="BA785" s="48"/>
      <c r="BB785" s="48"/>
      <c r="BC785" s="12"/>
      <c r="BD785" s="12"/>
    </row>
    <row r="786" spans="1:56" ht="12" customHeight="1">
      <c r="A786" s="12"/>
      <c r="B786" s="47"/>
      <c r="C786" s="12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12"/>
      <c r="BD786" s="12"/>
    </row>
    <row r="787" spans="1:56" ht="12" customHeight="1">
      <c r="A787" s="12"/>
      <c r="B787" s="47"/>
      <c r="C787" s="12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12"/>
      <c r="BD787" s="12"/>
    </row>
    <row r="788" spans="1:56" ht="12" customHeight="1">
      <c r="A788" s="12"/>
      <c r="B788" s="47"/>
      <c r="C788" s="12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12"/>
      <c r="BD788" s="12"/>
    </row>
    <row r="789" spans="1:56" ht="12" customHeight="1">
      <c r="A789" s="12"/>
      <c r="B789" s="47"/>
      <c r="C789" s="12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  <c r="AX789" s="48"/>
      <c r="AY789" s="48"/>
      <c r="AZ789" s="48"/>
      <c r="BA789" s="48"/>
      <c r="BB789" s="48"/>
      <c r="BC789" s="12"/>
      <c r="BD789" s="12"/>
    </row>
    <row r="790" spans="1:56" ht="12" customHeight="1">
      <c r="A790" s="12"/>
      <c r="B790" s="47"/>
      <c r="C790" s="12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12"/>
      <c r="BD790" s="12"/>
    </row>
    <row r="791" spans="1:56" ht="12" customHeight="1">
      <c r="A791" s="12"/>
      <c r="B791" s="47"/>
      <c r="C791" s="12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12"/>
      <c r="BD791" s="12"/>
    </row>
    <row r="792" spans="1:56" ht="12" customHeight="1">
      <c r="A792" s="12"/>
      <c r="B792" s="47"/>
      <c r="C792" s="12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12"/>
      <c r="BD792" s="12"/>
    </row>
    <row r="793" spans="1:56" ht="12" customHeight="1">
      <c r="A793" s="12"/>
      <c r="B793" s="47"/>
      <c r="C793" s="12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12"/>
      <c r="BD793" s="12"/>
    </row>
    <row r="794" spans="1:56" ht="12" customHeight="1">
      <c r="A794" s="12"/>
      <c r="B794" s="47"/>
      <c r="C794" s="12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12"/>
      <c r="BD794" s="12"/>
    </row>
    <row r="795" spans="1:56" ht="12" customHeight="1">
      <c r="A795" s="12"/>
      <c r="B795" s="47"/>
      <c r="C795" s="12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12"/>
      <c r="BD795" s="12"/>
    </row>
    <row r="796" spans="1:56" ht="12" customHeight="1">
      <c r="A796" s="12"/>
      <c r="B796" s="47"/>
      <c r="C796" s="12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12"/>
      <c r="BD796" s="12"/>
    </row>
    <row r="797" spans="1:56" ht="12" customHeight="1">
      <c r="A797" s="12"/>
      <c r="B797" s="47"/>
      <c r="C797" s="12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  <c r="AX797" s="48"/>
      <c r="AY797" s="48"/>
      <c r="AZ797" s="48"/>
      <c r="BA797" s="48"/>
      <c r="BB797" s="48"/>
      <c r="BC797" s="12"/>
      <c r="BD797" s="12"/>
    </row>
    <row r="798" spans="1:56" ht="12" customHeight="1">
      <c r="A798" s="12"/>
      <c r="B798" s="47"/>
      <c r="C798" s="12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  <c r="AX798" s="48"/>
      <c r="AY798" s="48"/>
      <c r="AZ798" s="48"/>
      <c r="BA798" s="48"/>
      <c r="BB798" s="48"/>
      <c r="BC798" s="12"/>
      <c r="BD798" s="12"/>
    </row>
    <row r="799" spans="1:56" ht="12" customHeight="1">
      <c r="A799" s="12"/>
      <c r="B799" s="47"/>
      <c r="C799" s="12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12"/>
      <c r="BD799" s="12"/>
    </row>
    <row r="800" spans="1:56" ht="12" customHeight="1">
      <c r="A800" s="12"/>
      <c r="B800" s="47"/>
      <c r="C800" s="12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12"/>
      <c r="BD800" s="12"/>
    </row>
    <row r="801" spans="1:56" ht="12" customHeight="1">
      <c r="A801" s="12"/>
      <c r="B801" s="47"/>
      <c r="C801" s="12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  <c r="AX801" s="48"/>
      <c r="AY801" s="48"/>
      <c r="AZ801" s="48"/>
      <c r="BA801" s="48"/>
      <c r="BB801" s="48"/>
      <c r="BC801" s="12"/>
      <c r="BD801" s="12"/>
    </row>
    <row r="802" spans="1:56" ht="12" customHeight="1">
      <c r="A802" s="12"/>
      <c r="B802" s="47"/>
      <c r="C802" s="12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12"/>
      <c r="BD802" s="12"/>
    </row>
    <row r="803" spans="1:56" ht="12" customHeight="1">
      <c r="A803" s="12"/>
      <c r="B803" s="47"/>
      <c r="C803" s="12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12"/>
      <c r="BD803" s="12"/>
    </row>
    <row r="804" spans="1:56" ht="12" customHeight="1">
      <c r="A804" s="12"/>
      <c r="B804" s="47"/>
      <c r="C804" s="12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  <c r="AX804" s="48"/>
      <c r="AY804" s="48"/>
      <c r="AZ804" s="48"/>
      <c r="BA804" s="48"/>
      <c r="BB804" s="48"/>
      <c r="BC804" s="12"/>
      <c r="BD804" s="12"/>
    </row>
    <row r="805" spans="1:56" ht="12" customHeight="1">
      <c r="A805" s="12"/>
      <c r="B805" s="47"/>
      <c r="C805" s="12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12"/>
      <c r="BD805" s="12"/>
    </row>
    <row r="806" spans="1:56" ht="12" customHeight="1">
      <c r="A806" s="12"/>
      <c r="B806" s="47"/>
      <c r="C806" s="12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  <c r="AX806" s="48"/>
      <c r="AY806" s="48"/>
      <c r="AZ806" s="48"/>
      <c r="BA806" s="48"/>
      <c r="BB806" s="48"/>
      <c r="BC806" s="12"/>
      <c r="BD806" s="12"/>
    </row>
    <row r="807" spans="1:56" ht="12" customHeight="1">
      <c r="A807" s="12"/>
      <c r="B807" s="47"/>
      <c r="C807" s="12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  <c r="AX807" s="48"/>
      <c r="AY807" s="48"/>
      <c r="AZ807" s="48"/>
      <c r="BA807" s="48"/>
      <c r="BB807" s="48"/>
      <c r="BC807" s="12"/>
      <c r="BD807" s="12"/>
    </row>
    <row r="808" spans="1:56" ht="12" customHeight="1">
      <c r="A808" s="12"/>
      <c r="B808" s="47"/>
      <c r="C808" s="12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12"/>
      <c r="BD808" s="12"/>
    </row>
    <row r="809" spans="1:56" ht="12" customHeight="1">
      <c r="A809" s="12"/>
      <c r="B809" s="47"/>
      <c r="C809" s="12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12"/>
      <c r="BD809" s="12"/>
    </row>
    <row r="810" spans="1:56" ht="12" customHeight="1">
      <c r="A810" s="12"/>
      <c r="B810" s="47"/>
      <c r="C810" s="12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  <c r="AX810" s="48"/>
      <c r="AY810" s="48"/>
      <c r="AZ810" s="48"/>
      <c r="BA810" s="48"/>
      <c r="BB810" s="48"/>
      <c r="BC810" s="12"/>
      <c r="BD810" s="12"/>
    </row>
    <row r="811" spans="1:56" ht="12" customHeight="1">
      <c r="A811" s="12"/>
      <c r="B811" s="47"/>
      <c r="C811" s="12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12"/>
      <c r="BD811" s="12"/>
    </row>
    <row r="812" spans="1:56" ht="12" customHeight="1">
      <c r="A812" s="12"/>
      <c r="B812" s="47"/>
      <c r="C812" s="12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  <c r="AX812" s="48"/>
      <c r="AY812" s="48"/>
      <c r="AZ812" s="48"/>
      <c r="BA812" s="48"/>
      <c r="BB812" s="48"/>
      <c r="BC812" s="12"/>
      <c r="BD812" s="12"/>
    </row>
    <row r="813" spans="1:56" ht="12" customHeight="1">
      <c r="A813" s="12"/>
      <c r="B813" s="47"/>
      <c r="C813" s="12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12"/>
      <c r="BD813" s="12"/>
    </row>
    <row r="814" spans="1:56" ht="12" customHeight="1">
      <c r="A814" s="12"/>
      <c r="B814" s="47"/>
      <c r="C814" s="12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12"/>
      <c r="BD814" s="12"/>
    </row>
    <row r="815" spans="1:56" ht="12" customHeight="1">
      <c r="A815" s="12"/>
      <c r="B815" s="47"/>
      <c r="C815" s="12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12"/>
      <c r="BD815" s="12"/>
    </row>
    <row r="816" spans="1:56" ht="12" customHeight="1">
      <c r="A816" s="12"/>
      <c r="B816" s="47"/>
      <c r="C816" s="12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12"/>
      <c r="BD816" s="12"/>
    </row>
    <row r="817" spans="1:56" ht="12" customHeight="1">
      <c r="A817" s="12"/>
      <c r="B817" s="47"/>
      <c r="C817" s="12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12"/>
      <c r="BD817" s="12"/>
    </row>
    <row r="818" spans="1:56" ht="12" customHeight="1">
      <c r="A818" s="12"/>
      <c r="B818" s="47"/>
      <c r="C818" s="12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12"/>
      <c r="BD818" s="12"/>
    </row>
    <row r="819" spans="1:56" ht="12" customHeight="1">
      <c r="A819" s="12"/>
      <c r="B819" s="47"/>
      <c r="C819" s="12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12"/>
      <c r="BD819" s="12"/>
    </row>
    <row r="820" spans="1:56" ht="12" customHeight="1">
      <c r="A820" s="12"/>
      <c r="B820" s="47"/>
      <c r="C820" s="12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12"/>
      <c r="BD820" s="12"/>
    </row>
    <row r="821" spans="1:56" ht="12" customHeight="1">
      <c r="A821" s="12"/>
      <c r="B821" s="47"/>
      <c r="C821" s="12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8"/>
      <c r="BB821" s="48"/>
      <c r="BC821" s="12"/>
      <c r="BD821" s="12"/>
    </row>
    <row r="822" spans="1:56" ht="12" customHeight="1">
      <c r="A822" s="12"/>
      <c r="B822" s="47"/>
      <c r="C822" s="12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/>
      <c r="BB822" s="48"/>
      <c r="BC822" s="12"/>
      <c r="BD822" s="12"/>
    </row>
    <row r="823" spans="1:56" ht="12" customHeight="1">
      <c r="A823" s="12"/>
      <c r="B823" s="47"/>
      <c r="C823" s="12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12"/>
      <c r="BD823" s="12"/>
    </row>
    <row r="824" spans="1:56" ht="12" customHeight="1">
      <c r="A824" s="12"/>
      <c r="B824" s="47"/>
      <c r="C824" s="12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48"/>
      <c r="BC824" s="12"/>
      <c r="BD824" s="12"/>
    </row>
    <row r="825" spans="1:56" ht="12" customHeight="1">
      <c r="A825" s="12"/>
      <c r="B825" s="47"/>
      <c r="C825" s="12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  <c r="AX825" s="48"/>
      <c r="AY825" s="48"/>
      <c r="AZ825" s="48"/>
      <c r="BA825" s="48"/>
      <c r="BB825" s="48"/>
      <c r="BC825" s="12"/>
      <c r="BD825" s="12"/>
    </row>
    <row r="826" spans="1:56" ht="12" customHeight="1">
      <c r="A826" s="12"/>
      <c r="B826" s="47"/>
      <c r="C826" s="12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12"/>
      <c r="BD826" s="12"/>
    </row>
    <row r="827" spans="1:56" ht="12" customHeight="1">
      <c r="A827" s="12"/>
      <c r="B827" s="47"/>
      <c r="C827" s="12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  <c r="AX827" s="48"/>
      <c r="AY827" s="48"/>
      <c r="AZ827" s="48"/>
      <c r="BA827" s="48"/>
      <c r="BB827" s="48"/>
      <c r="BC827" s="12"/>
      <c r="BD827" s="12"/>
    </row>
    <row r="828" spans="1:56" ht="12" customHeight="1">
      <c r="A828" s="12"/>
      <c r="B828" s="47"/>
      <c r="C828" s="12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  <c r="AX828" s="48"/>
      <c r="AY828" s="48"/>
      <c r="AZ828" s="48"/>
      <c r="BA828" s="48"/>
      <c r="BB828" s="48"/>
      <c r="BC828" s="12"/>
      <c r="BD828" s="12"/>
    </row>
    <row r="829" spans="1:56" ht="12" customHeight="1">
      <c r="A829" s="12"/>
      <c r="B829" s="47"/>
      <c r="C829" s="12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  <c r="AX829" s="48"/>
      <c r="AY829" s="48"/>
      <c r="AZ829" s="48"/>
      <c r="BA829" s="48"/>
      <c r="BB829" s="48"/>
      <c r="BC829" s="12"/>
      <c r="BD829" s="12"/>
    </row>
    <row r="830" spans="1:56" ht="12" customHeight="1">
      <c r="A830" s="12"/>
      <c r="B830" s="47"/>
      <c r="C830" s="12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  <c r="AX830" s="48"/>
      <c r="AY830" s="48"/>
      <c r="AZ830" s="48"/>
      <c r="BA830" s="48"/>
      <c r="BB830" s="48"/>
      <c r="BC830" s="12"/>
      <c r="BD830" s="12"/>
    </row>
    <row r="831" spans="1:56" ht="12" customHeight="1">
      <c r="A831" s="12"/>
      <c r="B831" s="47"/>
      <c r="C831" s="12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  <c r="AX831" s="48"/>
      <c r="AY831" s="48"/>
      <c r="AZ831" s="48"/>
      <c r="BA831" s="48"/>
      <c r="BB831" s="48"/>
      <c r="BC831" s="12"/>
      <c r="BD831" s="12"/>
    </row>
    <row r="832" spans="1:56" ht="12" customHeight="1">
      <c r="A832" s="12"/>
      <c r="B832" s="47"/>
      <c r="C832" s="12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  <c r="AX832" s="48"/>
      <c r="AY832" s="48"/>
      <c r="AZ832" s="48"/>
      <c r="BA832" s="48"/>
      <c r="BB832" s="48"/>
      <c r="BC832" s="12"/>
      <c r="BD832" s="12"/>
    </row>
    <row r="833" spans="1:56" ht="12" customHeight="1">
      <c r="A833" s="12"/>
      <c r="B833" s="47"/>
      <c r="C833" s="12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  <c r="AX833" s="48"/>
      <c r="AY833" s="48"/>
      <c r="AZ833" s="48"/>
      <c r="BA833" s="48"/>
      <c r="BB833" s="48"/>
      <c r="BC833" s="12"/>
      <c r="BD833" s="12"/>
    </row>
    <row r="834" spans="1:56" ht="12" customHeight="1">
      <c r="A834" s="12"/>
      <c r="B834" s="47"/>
      <c r="C834" s="12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  <c r="AX834" s="48"/>
      <c r="AY834" s="48"/>
      <c r="AZ834" s="48"/>
      <c r="BA834" s="48"/>
      <c r="BB834" s="48"/>
      <c r="BC834" s="12"/>
      <c r="BD834" s="12"/>
    </row>
    <row r="835" spans="1:56" ht="12" customHeight="1">
      <c r="A835" s="12"/>
      <c r="B835" s="47"/>
      <c r="C835" s="12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  <c r="AX835" s="48"/>
      <c r="AY835" s="48"/>
      <c r="AZ835" s="48"/>
      <c r="BA835" s="48"/>
      <c r="BB835" s="48"/>
      <c r="BC835" s="12"/>
      <c r="BD835" s="12"/>
    </row>
    <row r="836" spans="1:56" ht="12" customHeight="1">
      <c r="A836" s="12"/>
      <c r="B836" s="47"/>
      <c r="C836" s="12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  <c r="AX836" s="48"/>
      <c r="AY836" s="48"/>
      <c r="AZ836" s="48"/>
      <c r="BA836" s="48"/>
      <c r="BB836" s="48"/>
      <c r="BC836" s="12"/>
      <c r="BD836" s="12"/>
    </row>
    <row r="837" spans="1:56" ht="12" customHeight="1">
      <c r="A837" s="12"/>
      <c r="B837" s="47"/>
      <c r="C837" s="12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  <c r="AX837" s="48"/>
      <c r="AY837" s="48"/>
      <c r="AZ837" s="48"/>
      <c r="BA837" s="48"/>
      <c r="BB837" s="48"/>
      <c r="BC837" s="12"/>
      <c r="BD837" s="12"/>
    </row>
    <row r="838" spans="1:56" ht="12" customHeight="1">
      <c r="A838" s="12"/>
      <c r="B838" s="47"/>
      <c r="C838" s="12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  <c r="AX838" s="48"/>
      <c r="AY838" s="48"/>
      <c r="AZ838" s="48"/>
      <c r="BA838" s="48"/>
      <c r="BB838" s="48"/>
      <c r="BC838" s="12"/>
      <c r="BD838" s="12"/>
    </row>
    <row r="839" spans="1:56" ht="12" customHeight="1">
      <c r="A839" s="12"/>
      <c r="B839" s="47"/>
      <c r="C839" s="12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  <c r="AX839" s="48"/>
      <c r="AY839" s="48"/>
      <c r="AZ839" s="48"/>
      <c r="BA839" s="48"/>
      <c r="BB839" s="48"/>
      <c r="BC839" s="12"/>
      <c r="BD839" s="12"/>
    </row>
    <row r="840" spans="1:56" ht="12" customHeight="1">
      <c r="A840" s="12"/>
      <c r="B840" s="47"/>
      <c r="C840" s="12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  <c r="AX840" s="48"/>
      <c r="AY840" s="48"/>
      <c r="AZ840" s="48"/>
      <c r="BA840" s="48"/>
      <c r="BB840" s="48"/>
      <c r="BC840" s="12"/>
      <c r="BD840" s="12"/>
    </row>
    <row r="841" spans="1:56" ht="12" customHeight="1">
      <c r="A841" s="12"/>
      <c r="B841" s="47"/>
      <c r="C841" s="12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12"/>
      <c r="BD841" s="12"/>
    </row>
    <row r="842" spans="1:56" ht="12" customHeight="1">
      <c r="A842" s="12"/>
      <c r="B842" s="47"/>
      <c r="C842" s="12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  <c r="AX842" s="48"/>
      <c r="AY842" s="48"/>
      <c r="AZ842" s="48"/>
      <c r="BA842" s="48"/>
      <c r="BB842" s="48"/>
      <c r="BC842" s="12"/>
      <c r="BD842" s="12"/>
    </row>
    <row r="843" spans="1:56" ht="12" customHeight="1">
      <c r="A843" s="12"/>
      <c r="B843" s="47"/>
      <c r="C843" s="12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  <c r="AX843" s="48"/>
      <c r="AY843" s="48"/>
      <c r="AZ843" s="48"/>
      <c r="BA843" s="48"/>
      <c r="BB843" s="48"/>
      <c r="BC843" s="12"/>
      <c r="BD843" s="12"/>
    </row>
    <row r="844" spans="1:56" ht="12" customHeight="1">
      <c r="A844" s="12"/>
      <c r="B844" s="47"/>
      <c r="C844" s="12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12"/>
      <c r="BD844" s="12"/>
    </row>
    <row r="845" spans="1:56" ht="12" customHeight="1">
      <c r="A845" s="12"/>
      <c r="B845" s="47"/>
      <c r="C845" s="12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  <c r="AX845" s="48"/>
      <c r="AY845" s="48"/>
      <c r="AZ845" s="48"/>
      <c r="BA845" s="48"/>
      <c r="BB845" s="48"/>
      <c r="BC845" s="12"/>
      <c r="BD845" s="12"/>
    </row>
    <row r="846" spans="1:56" ht="12" customHeight="1">
      <c r="A846" s="12"/>
      <c r="B846" s="47"/>
      <c r="C846" s="12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  <c r="AX846" s="48"/>
      <c r="AY846" s="48"/>
      <c r="AZ846" s="48"/>
      <c r="BA846" s="48"/>
      <c r="BB846" s="48"/>
      <c r="BC846" s="12"/>
      <c r="BD846" s="12"/>
    </row>
    <row r="847" spans="1:56" ht="12" customHeight="1">
      <c r="A847" s="12"/>
      <c r="B847" s="47"/>
      <c r="C847" s="12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  <c r="AX847" s="48"/>
      <c r="AY847" s="48"/>
      <c r="AZ847" s="48"/>
      <c r="BA847" s="48"/>
      <c r="BB847" s="48"/>
      <c r="BC847" s="12"/>
      <c r="BD847" s="12"/>
    </row>
    <row r="848" spans="1:56" ht="12" customHeight="1">
      <c r="A848" s="12"/>
      <c r="B848" s="47"/>
      <c r="C848" s="12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  <c r="AX848" s="48"/>
      <c r="AY848" s="48"/>
      <c r="AZ848" s="48"/>
      <c r="BA848" s="48"/>
      <c r="BB848" s="48"/>
      <c r="BC848" s="12"/>
      <c r="BD848" s="12"/>
    </row>
    <row r="849" spans="1:56" ht="12" customHeight="1">
      <c r="A849" s="12"/>
      <c r="B849" s="47"/>
      <c r="C849" s="12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  <c r="AX849" s="48"/>
      <c r="AY849" s="48"/>
      <c r="AZ849" s="48"/>
      <c r="BA849" s="48"/>
      <c r="BB849" s="48"/>
      <c r="BC849" s="12"/>
      <c r="BD849" s="12"/>
    </row>
    <row r="850" spans="1:56" ht="12" customHeight="1">
      <c r="A850" s="12"/>
      <c r="B850" s="47"/>
      <c r="C850" s="12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  <c r="AX850" s="48"/>
      <c r="AY850" s="48"/>
      <c r="AZ850" s="48"/>
      <c r="BA850" s="48"/>
      <c r="BB850" s="48"/>
      <c r="BC850" s="12"/>
      <c r="BD850" s="12"/>
    </row>
    <row r="851" spans="1:56" ht="12" customHeight="1">
      <c r="A851" s="12"/>
      <c r="B851" s="47"/>
      <c r="C851" s="12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  <c r="AX851" s="48"/>
      <c r="AY851" s="48"/>
      <c r="AZ851" s="48"/>
      <c r="BA851" s="48"/>
      <c r="BB851" s="48"/>
      <c r="BC851" s="12"/>
      <c r="BD851" s="12"/>
    </row>
    <row r="852" spans="1:56" ht="12" customHeight="1">
      <c r="A852" s="12"/>
      <c r="B852" s="47"/>
      <c r="C852" s="12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  <c r="AX852" s="48"/>
      <c r="AY852" s="48"/>
      <c r="AZ852" s="48"/>
      <c r="BA852" s="48"/>
      <c r="BB852" s="48"/>
      <c r="BC852" s="12"/>
      <c r="BD852" s="12"/>
    </row>
    <row r="853" spans="1:56" ht="12" customHeight="1">
      <c r="A853" s="12"/>
      <c r="B853" s="47"/>
      <c r="C853" s="12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  <c r="AX853" s="48"/>
      <c r="AY853" s="48"/>
      <c r="AZ853" s="48"/>
      <c r="BA853" s="48"/>
      <c r="BB853" s="48"/>
      <c r="BC853" s="12"/>
      <c r="BD853" s="12"/>
    </row>
    <row r="854" spans="1:56" ht="12" customHeight="1">
      <c r="A854" s="12"/>
      <c r="B854" s="47"/>
      <c r="C854" s="12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  <c r="AX854" s="48"/>
      <c r="AY854" s="48"/>
      <c r="AZ854" s="48"/>
      <c r="BA854" s="48"/>
      <c r="BB854" s="48"/>
      <c r="BC854" s="12"/>
      <c r="BD854" s="12"/>
    </row>
    <row r="855" spans="1:56" ht="12" customHeight="1">
      <c r="A855" s="12"/>
      <c r="B855" s="47"/>
      <c r="C855" s="12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  <c r="AX855" s="48"/>
      <c r="AY855" s="48"/>
      <c r="AZ855" s="48"/>
      <c r="BA855" s="48"/>
      <c r="BB855" s="48"/>
      <c r="BC855" s="12"/>
      <c r="BD855" s="12"/>
    </row>
    <row r="856" spans="1:56" ht="12" customHeight="1">
      <c r="A856" s="12"/>
      <c r="B856" s="47"/>
      <c r="C856" s="12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  <c r="AX856" s="48"/>
      <c r="AY856" s="48"/>
      <c r="AZ856" s="48"/>
      <c r="BA856" s="48"/>
      <c r="BB856" s="48"/>
      <c r="BC856" s="12"/>
      <c r="BD856" s="12"/>
    </row>
    <row r="857" spans="1:56" ht="12" customHeight="1">
      <c r="A857" s="12"/>
      <c r="B857" s="47"/>
      <c r="C857" s="12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  <c r="AX857" s="48"/>
      <c r="AY857" s="48"/>
      <c r="AZ857" s="48"/>
      <c r="BA857" s="48"/>
      <c r="BB857" s="48"/>
      <c r="BC857" s="12"/>
      <c r="BD857" s="12"/>
    </row>
    <row r="858" spans="1:56" ht="12" customHeight="1">
      <c r="A858" s="12"/>
      <c r="B858" s="47"/>
      <c r="C858" s="12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  <c r="AX858" s="48"/>
      <c r="AY858" s="48"/>
      <c r="AZ858" s="48"/>
      <c r="BA858" s="48"/>
      <c r="BB858" s="48"/>
      <c r="BC858" s="12"/>
      <c r="BD858" s="12"/>
    </row>
    <row r="859" spans="1:56" ht="12" customHeight="1">
      <c r="A859" s="12"/>
      <c r="B859" s="47"/>
      <c r="C859" s="12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12"/>
      <c r="BD859" s="12"/>
    </row>
    <row r="860" spans="1:56" ht="12" customHeight="1">
      <c r="A860" s="12"/>
      <c r="B860" s="47"/>
      <c r="C860" s="12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  <c r="AX860" s="48"/>
      <c r="AY860" s="48"/>
      <c r="AZ860" s="48"/>
      <c r="BA860" s="48"/>
      <c r="BB860" s="48"/>
      <c r="BC860" s="12"/>
      <c r="BD860" s="12"/>
    </row>
    <row r="861" spans="1:56" ht="12" customHeight="1">
      <c r="A861" s="12"/>
      <c r="B861" s="47"/>
      <c r="C861" s="12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  <c r="AX861" s="48"/>
      <c r="AY861" s="48"/>
      <c r="AZ861" s="48"/>
      <c r="BA861" s="48"/>
      <c r="BB861" s="48"/>
      <c r="BC861" s="12"/>
      <c r="BD861" s="12"/>
    </row>
    <row r="862" spans="1:56" ht="12" customHeight="1">
      <c r="A862" s="12"/>
      <c r="B862" s="47"/>
      <c r="C862" s="12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12"/>
      <c r="BD862" s="12"/>
    </row>
    <row r="863" spans="1:56" ht="12" customHeight="1">
      <c r="A863" s="12"/>
      <c r="B863" s="47"/>
      <c r="C863" s="12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  <c r="AX863" s="48"/>
      <c r="AY863" s="48"/>
      <c r="AZ863" s="48"/>
      <c r="BA863" s="48"/>
      <c r="BB863" s="48"/>
      <c r="BC863" s="12"/>
      <c r="BD863" s="12"/>
    </row>
    <row r="864" spans="1:56" ht="12" customHeight="1">
      <c r="A864" s="12"/>
      <c r="B864" s="47"/>
      <c r="C864" s="12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  <c r="AX864" s="48"/>
      <c r="AY864" s="48"/>
      <c r="AZ864" s="48"/>
      <c r="BA864" s="48"/>
      <c r="BB864" s="48"/>
      <c r="BC864" s="12"/>
      <c r="BD864" s="12"/>
    </row>
    <row r="865" spans="1:56" ht="12" customHeight="1">
      <c r="A865" s="12"/>
      <c r="B865" s="47"/>
      <c r="C865" s="12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12"/>
      <c r="BD865" s="12"/>
    </row>
    <row r="866" spans="1:56" ht="12" customHeight="1">
      <c r="A866" s="12"/>
      <c r="B866" s="47"/>
      <c r="C866" s="12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  <c r="AX866" s="48"/>
      <c r="AY866" s="48"/>
      <c r="AZ866" s="48"/>
      <c r="BA866" s="48"/>
      <c r="BB866" s="48"/>
      <c r="BC866" s="12"/>
      <c r="BD866" s="12"/>
    </row>
    <row r="867" spans="1:56" ht="12" customHeight="1">
      <c r="A867" s="12"/>
      <c r="B867" s="47"/>
      <c r="C867" s="12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  <c r="AX867" s="48"/>
      <c r="AY867" s="48"/>
      <c r="AZ867" s="48"/>
      <c r="BA867" s="48"/>
      <c r="BB867" s="48"/>
      <c r="BC867" s="12"/>
      <c r="BD867" s="12"/>
    </row>
    <row r="868" spans="1:56" ht="12" customHeight="1">
      <c r="A868" s="12"/>
      <c r="B868" s="47"/>
      <c r="C868" s="12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  <c r="AX868" s="48"/>
      <c r="AY868" s="48"/>
      <c r="AZ868" s="48"/>
      <c r="BA868" s="48"/>
      <c r="BB868" s="48"/>
      <c r="BC868" s="12"/>
      <c r="BD868" s="12"/>
    </row>
    <row r="869" spans="1:56" ht="12" customHeight="1">
      <c r="A869" s="12"/>
      <c r="B869" s="47"/>
      <c r="C869" s="12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  <c r="AX869" s="48"/>
      <c r="AY869" s="48"/>
      <c r="AZ869" s="48"/>
      <c r="BA869" s="48"/>
      <c r="BB869" s="48"/>
      <c r="BC869" s="12"/>
      <c r="BD869" s="12"/>
    </row>
    <row r="870" spans="1:56" ht="12" customHeight="1">
      <c r="A870" s="12"/>
      <c r="B870" s="47"/>
      <c r="C870" s="12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  <c r="AX870" s="48"/>
      <c r="AY870" s="48"/>
      <c r="AZ870" s="48"/>
      <c r="BA870" s="48"/>
      <c r="BB870" s="48"/>
      <c r="BC870" s="12"/>
      <c r="BD870" s="12"/>
    </row>
    <row r="871" spans="1:56" ht="12" customHeight="1">
      <c r="A871" s="12"/>
      <c r="B871" s="47"/>
      <c r="C871" s="12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12"/>
      <c r="BD871" s="12"/>
    </row>
    <row r="872" spans="1:56" ht="12" customHeight="1">
      <c r="A872" s="12"/>
      <c r="B872" s="47"/>
      <c r="C872" s="12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  <c r="AX872" s="48"/>
      <c r="AY872" s="48"/>
      <c r="AZ872" s="48"/>
      <c r="BA872" s="48"/>
      <c r="BB872" s="48"/>
      <c r="BC872" s="12"/>
      <c r="BD872" s="12"/>
    </row>
    <row r="873" spans="1:56" ht="12" customHeight="1">
      <c r="A873" s="12"/>
      <c r="B873" s="47"/>
      <c r="C873" s="12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  <c r="AX873" s="48"/>
      <c r="AY873" s="48"/>
      <c r="AZ873" s="48"/>
      <c r="BA873" s="48"/>
      <c r="BB873" s="48"/>
      <c r="BC873" s="12"/>
      <c r="BD873" s="12"/>
    </row>
    <row r="874" spans="1:56" ht="12" customHeight="1">
      <c r="A874" s="12"/>
      <c r="B874" s="47"/>
      <c r="C874" s="12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12"/>
      <c r="BD874" s="12"/>
    </row>
    <row r="875" spans="1:56" ht="12" customHeight="1">
      <c r="A875" s="12"/>
      <c r="B875" s="47"/>
      <c r="C875" s="12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  <c r="AX875" s="48"/>
      <c r="AY875" s="48"/>
      <c r="AZ875" s="48"/>
      <c r="BA875" s="48"/>
      <c r="BB875" s="48"/>
      <c r="BC875" s="12"/>
      <c r="BD875" s="12"/>
    </row>
    <row r="876" spans="1:56" ht="12" customHeight="1">
      <c r="A876" s="12"/>
      <c r="B876" s="47"/>
      <c r="C876" s="12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  <c r="AX876" s="48"/>
      <c r="AY876" s="48"/>
      <c r="AZ876" s="48"/>
      <c r="BA876" s="48"/>
      <c r="BB876" s="48"/>
      <c r="BC876" s="12"/>
      <c r="BD876" s="12"/>
    </row>
    <row r="877" spans="1:56" ht="12" customHeight="1">
      <c r="A877" s="12"/>
      <c r="B877" s="47"/>
      <c r="C877" s="12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12"/>
      <c r="BD877" s="12"/>
    </row>
    <row r="878" spans="1:56" ht="12" customHeight="1">
      <c r="A878" s="12"/>
      <c r="B878" s="47"/>
      <c r="C878" s="12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  <c r="AX878" s="48"/>
      <c r="AY878" s="48"/>
      <c r="AZ878" s="48"/>
      <c r="BA878" s="48"/>
      <c r="BB878" s="48"/>
      <c r="BC878" s="12"/>
      <c r="BD878" s="12"/>
    </row>
    <row r="879" spans="1:56" ht="12" customHeight="1">
      <c r="A879" s="12"/>
      <c r="B879" s="47"/>
      <c r="C879" s="12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  <c r="AX879" s="48"/>
      <c r="AY879" s="48"/>
      <c r="AZ879" s="48"/>
      <c r="BA879" s="48"/>
      <c r="BB879" s="48"/>
      <c r="BC879" s="12"/>
      <c r="BD879" s="12"/>
    </row>
    <row r="880" spans="1:56" ht="12" customHeight="1">
      <c r="A880" s="12"/>
      <c r="B880" s="47"/>
      <c r="C880" s="12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12"/>
      <c r="BD880" s="12"/>
    </row>
    <row r="881" spans="1:56" ht="12" customHeight="1">
      <c r="A881" s="12"/>
      <c r="B881" s="47"/>
      <c r="C881" s="12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  <c r="AX881" s="48"/>
      <c r="AY881" s="48"/>
      <c r="AZ881" s="48"/>
      <c r="BA881" s="48"/>
      <c r="BB881" s="48"/>
      <c r="BC881" s="12"/>
      <c r="BD881" s="12"/>
    </row>
    <row r="882" spans="1:56" ht="12" customHeight="1">
      <c r="A882" s="12"/>
      <c r="B882" s="47"/>
      <c r="C882" s="12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  <c r="AX882" s="48"/>
      <c r="AY882" s="48"/>
      <c r="AZ882" s="48"/>
      <c r="BA882" s="48"/>
      <c r="BB882" s="48"/>
      <c r="BC882" s="12"/>
      <c r="BD882" s="12"/>
    </row>
    <row r="883" spans="1:56" ht="12" customHeight="1">
      <c r="A883" s="12"/>
      <c r="B883" s="47"/>
      <c r="C883" s="12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  <c r="AX883" s="48"/>
      <c r="AY883" s="48"/>
      <c r="AZ883" s="48"/>
      <c r="BA883" s="48"/>
      <c r="BB883" s="48"/>
      <c r="BC883" s="12"/>
      <c r="BD883" s="12"/>
    </row>
    <row r="884" spans="1:56" ht="12" customHeight="1">
      <c r="A884" s="12"/>
      <c r="B884" s="47"/>
      <c r="C884" s="12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  <c r="AX884" s="48"/>
      <c r="AY884" s="48"/>
      <c r="AZ884" s="48"/>
      <c r="BA884" s="48"/>
      <c r="BB884" s="48"/>
      <c r="BC884" s="12"/>
      <c r="BD884" s="12"/>
    </row>
    <row r="885" spans="1:56" ht="12" customHeight="1">
      <c r="A885" s="12"/>
      <c r="B885" s="47"/>
      <c r="C885" s="12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  <c r="AX885" s="48"/>
      <c r="AY885" s="48"/>
      <c r="AZ885" s="48"/>
      <c r="BA885" s="48"/>
      <c r="BB885" s="48"/>
      <c r="BC885" s="12"/>
      <c r="BD885" s="12"/>
    </row>
    <row r="886" spans="1:56" ht="12" customHeight="1">
      <c r="A886" s="12"/>
      <c r="B886" s="47"/>
      <c r="C886" s="12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12"/>
      <c r="BD886" s="12"/>
    </row>
    <row r="887" spans="1:56" ht="12" customHeight="1">
      <c r="A887" s="12"/>
      <c r="B887" s="47"/>
      <c r="C887" s="12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  <c r="AX887" s="48"/>
      <c r="AY887" s="48"/>
      <c r="AZ887" s="48"/>
      <c r="BA887" s="48"/>
      <c r="BB887" s="48"/>
      <c r="BC887" s="12"/>
      <c r="BD887" s="12"/>
    </row>
    <row r="888" spans="1:56" ht="12" customHeight="1">
      <c r="A888" s="12"/>
      <c r="B888" s="47"/>
      <c r="C888" s="12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  <c r="AX888" s="48"/>
      <c r="AY888" s="48"/>
      <c r="AZ888" s="48"/>
      <c r="BA888" s="48"/>
      <c r="BB888" s="48"/>
      <c r="BC888" s="12"/>
      <c r="BD888" s="12"/>
    </row>
    <row r="889" spans="1:56" ht="12" customHeight="1">
      <c r="A889" s="12"/>
      <c r="B889" s="47"/>
      <c r="C889" s="12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  <c r="AX889" s="48"/>
      <c r="AY889" s="48"/>
      <c r="AZ889" s="48"/>
      <c r="BA889" s="48"/>
      <c r="BB889" s="48"/>
      <c r="BC889" s="12"/>
      <c r="BD889" s="12"/>
    </row>
    <row r="890" spans="1:56" ht="12" customHeight="1">
      <c r="A890" s="12"/>
      <c r="B890" s="47"/>
      <c r="C890" s="12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  <c r="AX890" s="48"/>
      <c r="AY890" s="48"/>
      <c r="AZ890" s="48"/>
      <c r="BA890" s="48"/>
      <c r="BB890" s="48"/>
      <c r="BC890" s="12"/>
      <c r="BD890" s="12"/>
    </row>
    <row r="891" spans="1:56" ht="12" customHeight="1">
      <c r="A891" s="12"/>
      <c r="B891" s="47"/>
      <c r="C891" s="12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  <c r="AX891" s="48"/>
      <c r="AY891" s="48"/>
      <c r="AZ891" s="48"/>
      <c r="BA891" s="48"/>
      <c r="BB891" s="48"/>
      <c r="BC891" s="12"/>
      <c r="BD891" s="12"/>
    </row>
    <row r="892" spans="1:56" ht="12" customHeight="1">
      <c r="A892" s="12"/>
      <c r="B892" s="47"/>
      <c r="C892" s="12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  <c r="AX892" s="48"/>
      <c r="AY892" s="48"/>
      <c r="AZ892" s="48"/>
      <c r="BA892" s="48"/>
      <c r="BB892" s="48"/>
      <c r="BC892" s="12"/>
      <c r="BD892" s="12"/>
    </row>
    <row r="893" spans="1:56" ht="12" customHeight="1">
      <c r="A893" s="12"/>
      <c r="B893" s="47"/>
      <c r="C893" s="12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12"/>
      <c r="BD893" s="12"/>
    </row>
    <row r="894" spans="1:56" ht="12" customHeight="1">
      <c r="A894" s="12"/>
      <c r="B894" s="47"/>
      <c r="C894" s="12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  <c r="AX894" s="48"/>
      <c r="AY894" s="48"/>
      <c r="AZ894" s="48"/>
      <c r="BA894" s="48"/>
      <c r="BB894" s="48"/>
      <c r="BC894" s="12"/>
      <c r="BD894" s="12"/>
    </row>
    <row r="895" spans="1:56" ht="12" customHeight="1">
      <c r="A895" s="12"/>
      <c r="B895" s="47"/>
      <c r="C895" s="12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  <c r="AX895" s="48"/>
      <c r="AY895" s="48"/>
      <c r="AZ895" s="48"/>
      <c r="BA895" s="48"/>
      <c r="BB895" s="48"/>
      <c r="BC895" s="12"/>
      <c r="BD895" s="12"/>
    </row>
    <row r="896" spans="1:56" ht="12" customHeight="1">
      <c r="A896" s="12"/>
      <c r="B896" s="47"/>
      <c r="C896" s="12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  <c r="AX896" s="48"/>
      <c r="AY896" s="48"/>
      <c r="AZ896" s="48"/>
      <c r="BA896" s="48"/>
      <c r="BB896" s="48"/>
      <c r="BC896" s="12"/>
      <c r="BD896" s="12"/>
    </row>
    <row r="897" spans="1:56" ht="12" customHeight="1">
      <c r="A897" s="12"/>
      <c r="B897" s="47"/>
      <c r="C897" s="12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  <c r="AX897" s="48"/>
      <c r="AY897" s="48"/>
      <c r="AZ897" s="48"/>
      <c r="BA897" s="48"/>
      <c r="BB897" s="48"/>
      <c r="BC897" s="12"/>
      <c r="BD897" s="12"/>
    </row>
    <row r="898" spans="1:56" ht="12" customHeight="1">
      <c r="A898" s="12"/>
      <c r="B898" s="47"/>
      <c r="C898" s="12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  <c r="AX898" s="48"/>
      <c r="AY898" s="48"/>
      <c r="AZ898" s="48"/>
      <c r="BA898" s="48"/>
      <c r="BB898" s="48"/>
      <c r="BC898" s="12"/>
      <c r="BD898" s="12"/>
    </row>
    <row r="899" spans="1:56" ht="12" customHeight="1">
      <c r="A899" s="12"/>
      <c r="B899" s="47"/>
      <c r="C899" s="12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  <c r="AX899" s="48"/>
      <c r="AY899" s="48"/>
      <c r="AZ899" s="48"/>
      <c r="BA899" s="48"/>
      <c r="BB899" s="48"/>
      <c r="BC899" s="12"/>
      <c r="BD899" s="12"/>
    </row>
    <row r="900" spans="1:56" ht="12" customHeight="1">
      <c r="A900" s="12"/>
      <c r="B900" s="47"/>
      <c r="C900" s="12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  <c r="AX900" s="48"/>
      <c r="AY900" s="48"/>
      <c r="AZ900" s="48"/>
      <c r="BA900" s="48"/>
      <c r="BB900" s="48"/>
      <c r="BC900" s="12"/>
      <c r="BD900" s="12"/>
    </row>
    <row r="901" spans="1:56" ht="12" customHeight="1">
      <c r="A901" s="12"/>
      <c r="B901" s="47"/>
      <c r="C901" s="12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  <c r="AX901" s="48"/>
      <c r="AY901" s="48"/>
      <c r="AZ901" s="48"/>
      <c r="BA901" s="48"/>
      <c r="BB901" s="48"/>
      <c r="BC901" s="12"/>
      <c r="BD901" s="12"/>
    </row>
    <row r="902" spans="1:56" ht="12" customHeight="1">
      <c r="A902" s="12"/>
      <c r="B902" s="47"/>
      <c r="C902" s="12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/>
      <c r="BB902" s="48"/>
      <c r="BC902" s="12"/>
      <c r="BD902" s="12"/>
    </row>
    <row r="903" spans="1:56" ht="12" customHeight="1">
      <c r="A903" s="12"/>
      <c r="B903" s="47"/>
      <c r="C903" s="12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  <c r="AX903" s="48"/>
      <c r="AY903" s="48"/>
      <c r="AZ903" s="48"/>
      <c r="BA903" s="48"/>
      <c r="BB903" s="48"/>
      <c r="BC903" s="12"/>
      <c r="BD903" s="12"/>
    </row>
    <row r="904" spans="1:56" ht="12" customHeight="1">
      <c r="A904" s="12"/>
      <c r="B904" s="47"/>
      <c r="C904" s="12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  <c r="AX904" s="48"/>
      <c r="AY904" s="48"/>
      <c r="AZ904" s="48"/>
      <c r="BA904" s="48"/>
      <c r="BB904" s="48"/>
      <c r="BC904" s="12"/>
      <c r="BD904" s="12"/>
    </row>
    <row r="905" spans="1:56" ht="12" customHeight="1">
      <c r="A905" s="12"/>
      <c r="B905" s="47"/>
      <c r="C905" s="12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  <c r="AX905" s="48"/>
      <c r="AY905" s="48"/>
      <c r="AZ905" s="48"/>
      <c r="BA905" s="48"/>
      <c r="BB905" s="48"/>
      <c r="BC905" s="12"/>
      <c r="BD905" s="12"/>
    </row>
    <row r="906" spans="1:56" ht="12" customHeight="1">
      <c r="A906" s="12"/>
      <c r="B906" s="47"/>
      <c r="C906" s="12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  <c r="AX906" s="48"/>
      <c r="AY906" s="48"/>
      <c r="AZ906" s="48"/>
      <c r="BA906" s="48"/>
      <c r="BB906" s="48"/>
      <c r="BC906" s="12"/>
      <c r="BD906" s="12"/>
    </row>
    <row r="907" spans="1:56" ht="12" customHeight="1">
      <c r="A907" s="12"/>
      <c r="B907" s="47"/>
      <c r="C907" s="12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  <c r="AX907" s="48"/>
      <c r="AY907" s="48"/>
      <c r="AZ907" s="48"/>
      <c r="BA907" s="48"/>
      <c r="BB907" s="48"/>
      <c r="BC907" s="12"/>
      <c r="BD907" s="12"/>
    </row>
    <row r="908" spans="1:56" ht="12" customHeight="1">
      <c r="A908" s="12"/>
      <c r="B908" s="47"/>
      <c r="C908" s="12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  <c r="AX908" s="48"/>
      <c r="AY908" s="48"/>
      <c r="AZ908" s="48"/>
      <c r="BA908" s="48"/>
      <c r="BB908" s="48"/>
      <c r="BC908" s="12"/>
      <c r="BD908" s="12"/>
    </row>
    <row r="909" spans="1:56" ht="12" customHeight="1">
      <c r="A909" s="12"/>
      <c r="B909" s="47"/>
      <c r="C909" s="12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  <c r="AX909" s="48"/>
      <c r="AY909" s="48"/>
      <c r="AZ909" s="48"/>
      <c r="BA909" s="48"/>
      <c r="BB909" s="48"/>
      <c r="BC909" s="12"/>
      <c r="BD909" s="12"/>
    </row>
    <row r="910" spans="1:56" ht="12" customHeight="1">
      <c r="A910" s="12"/>
      <c r="B910" s="47"/>
      <c r="C910" s="12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  <c r="AX910" s="48"/>
      <c r="AY910" s="48"/>
      <c r="AZ910" s="48"/>
      <c r="BA910" s="48"/>
      <c r="BB910" s="48"/>
      <c r="BC910" s="12"/>
      <c r="BD910" s="12"/>
    </row>
    <row r="911" spans="1:56" ht="12" customHeight="1">
      <c r="A911" s="12"/>
      <c r="B911" s="47"/>
      <c r="C911" s="12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  <c r="AX911" s="48"/>
      <c r="AY911" s="48"/>
      <c r="AZ911" s="48"/>
      <c r="BA911" s="48"/>
      <c r="BB911" s="48"/>
      <c r="BC911" s="12"/>
      <c r="BD911" s="12"/>
    </row>
    <row r="912" spans="1:56" ht="12" customHeight="1">
      <c r="A912" s="12"/>
      <c r="B912" s="47"/>
      <c r="C912" s="12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  <c r="AX912" s="48"/>
      <c r="AY912" s="48"/>
      <c r="AZ912" s="48"/>
      <c r="BA912" s="48"/>
      <c r="BB912" s="48"/>
      <c r="BC912" s="12"/>
      <c r="BD912" s="12"/>
    </row>
    <row r="913" spans="1:56" ht="12" customHeight="1">
      <c r="A913" s="12"/>
      <c r="B913" s="47"/>
      <c r="C913" s="12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  <c r="AX913" s="48"/>
      <c r="AY913" s="48"/>
      <c r="AZ913" s="48"/>
      <c r="BA913" s="48"/>
      <c r="BB913" s="48"/>
      <c r="BC913" s="12"/>
      <c r="BD913" s="12"/>
    </row>
    <row r="914" spans="1:56" ht="12" customHeight="1">
      <c r="A914" s="12"/>
      <c r="B914" s="47"/>
      <c r="C914" s="12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  <c r="AX914" s="48"/>
      <c r="AY914" s="48"/>
      <c r="AZ914" s="48"/>
      <c r="BA914" s="48"/>
      <c r="BB914" s="48"/>
      <c r="BC914" s="12"/>
      <c r="BD914" s="12"/>
    </row>
    <row r="915" spans="1:56" ht="12" customHeight="1">
      <c r="A915" s="12"/>
      <c r="B915" s="47"/>
      <c r="C915" s="12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  <c r="AX915" s="48"/>
      <c r="AY915" s="48"/>
      <c r="AZ915" s="48"/>
      <c r="BA915" s="48"/>
      <c r="BB915" s="48"/>
      <c r="BC915" s="12"/>
      <c r="BD915" s="12"/>
    </row>
    <row r="916" spans="1:56" ht="12" customHeight="1">
      <c r="A916" s="12"/>
      <c r="B916" s="47"/>
      <c r="C916" s="12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  <c r="AX916" s="48"/>
      <c r="AY916" s="48"/>
      <c r="AZ916" s="48"/>
      <c r="BA916" s="48"/>
      <c r="BB916" s="48"/>
      <c r="BC916" s="12"/>
      <c r="BD916" s="12"/>
    </row>
    <row r="917" spans="1:56" ht="12" customHeight="1">
      <c r="A917" s="12"/>
      <c r="B917" s="47"/>
      <c r="C917" s="12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  <c r="AX917" s="48"/>
      <c r="AY917" s="48"/>
      <c r="AZ917" s="48"/>
      <c r="BA917" s="48"/>
      <c r="BB917" s="48"/>
      <c r="BC917" s="12"/>
      <c r="BD917" s="12"/>
    </row>
    <row r="918" spans="1:56" ht="12" customHeight="1">
      <c r="A918" s="12"/>
      <c r="B918" s="47"/>
      <c r="C918" s="12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  <c r="AX918" s="48"/>
      <c r="AY918" s="48"/>
      <c r="AZ918" s="48"/>
      <c r="BA918" s="48"/>
      <c r="BB918" s="48"/>
      <c r="BC918" s="12"/>
      <c r="BD918" s="12"/>
    </row>
    <row r="919" spans="1:56" ht="12" customHeight="1">
      <c r="A919" s="12"/>
      <c r="B919" s="47"/>
      <c r="C919" s="12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  <c r="AX919" s="48"/>
      <c r="AY919" s="48"/>
      <c r="AZ919" s="48"/>
      <c r="BA919" s="48"/>
      <c r="BB919" s="48"/>
      <c r="BC919" s="12"/>
      <c r="BD919" s="12"/>
    </row>
    <row r="920" spans="1:56" ht="12" customHeight="1">
      <c r="A920" s="12"/>
      <c r="B920" s="47"/>
      <c r="C920" s="12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  <c r="AX920" s="48"/>
      <c r="AY920" s="48"/>
      <c r="AZ920" s="48"/>
      <c r="BA920" s="48"/>
      <c r="BB920" s="48"/>
      <c r="BC920" s="12"/>
      <c r="BD920" s="12"/>
    </row>
    <row r="921" spans="1:56" ht="12" customHeight="1">
      <c r="A921" s="12"/>
      <c r="B921" s="47"/>
      <c r="C921" s="12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  <c r="AX921" s="48"/>
      <c r="AY921" s="48"/>
      <c r="AZ921" s="48"/>
      <c r="BA921" s="48"/>
      <c r="BB921" s="48"/>
      <c r="BC921" s="12"/>
      <c r="BD921" s="12"/>
    </row>
    <row r="922" spans="1:56" ht="12" customHeight="1">
      <c r="A922" s="12"/>
      <c r="B922" s="47"/>
      <c r="C922" s="12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  <c r="AX922" s="48"/>
      <c r="AY922" s="48"/>
      <c r="AZ922" s="48"/>
      <c r="BA922" s="48"/>
      <c r="BB922" s="48"/>
      <c r="BC922" s="12"/>
      <c r="BD922" s="12"/>
    </row>
    <row r="923" spans="1:56" ht="12" customHeight="1">
      <c r="A923" s="12"/>
      <c r="B923" s="47"/>
      <c r="C923" s="12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  <c r="AX923" s="48"/>
      <c r="AY923" s="48"/>
      <c r="AZ923" s="48"/>
      <c r="BA923" s="48"/>
      <c r="BB923" s="48"/>
      <c r="BC923" s="12"/>
      <c r="BD923" s="12"/>
    </row>
    <row r="924" spans="1:56" ht="12" customHeight="1">
      <c r="A924" s="12"/>
      <c r="B924" s="47"/>
      <c r="C924" s="12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  <c r="AX924" s="48"/>
      <c r="AY924" s="48"/>
      <c r="AZ924" s="48"/>
      <c r="BA924" s="48"/>
      <c r="BB924" s="48"/>
      <c r="BC924" s="12"/>
      <c r="BD924" s="12"/>
    </row>
    <row r="925" spans="1:56" ht="12" customHeight="1">
      <c r="A925" s="12"/>
      <c r="B925" s="47"/>
      <c r="C925" s="12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  <c r="AX925" s="48"/>
      <c r="AY925" s="48"/>
      <c r="AZ925" s="48"/>
      <c r="BA925" s="48"/>
      <c r="BB925" s="48"/>
      <c r="BC925" s="12"/>
      <c r="BD925" s="12"/>
    </row>
    <row r="926" spans="1:56" ht="12" customHeight="1">
      <c r="A926" s="12"/>
      <c r="B926" s="47"/>
      <c r="C926" s="12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8"/>
      <c r="AU926" s="48"/>
      <c r="AV926" s="48"/>
      <c r="AW926" s="48"/>
      <c r="AX926" s="48"/>
      <c r="AY926" s="48"/>
      <c r="AZ926" s="48"/>
      <c r="BA926" s="48"/>
      <c r="BB926" s="48"/>
      <c r="BC926" s="12"/>
      <c r="BD926" s="12"/>
    </row>
    <row r="927" spans="1:56" ht="12" customHeight="1">
      <c r="A927" s="12"/>
      <c r="B927" s="47"/>
      <c r="C927" s="12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8"/>
      <c r="AU927" s="48"/>
      <c r="AV927" s="48"/>
      <c r="AW927" s="48"/>
      <c r="AX927" s="48"/>
      <c r="AY927" s="48"/>
      <c r="AZ927" s="48"/>
      <c r="BA927" s="48"/>
      <c r="BB927" s="48"/>
      <c r="BC927" s="12"/>
      <c r="BD927" s="12"/>
    </row>
    <row r="928" spans="1:56" ht="12" customHeight="1">
      <c r="A928" s="12"/>
      <c r="B928" s="47"/>
      <c r="C928" s="12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  <c r="AX928" s="48"/>
      <c r="AY928" s="48"/>
      <c r="AZ928" s="48"/>
      <c r="BA928" s="48"/>
      <c r="BB928" s="48"/>
      <c r="BC928" s="12"/>
      <c r="BD928" s="12"/>
    </row>
    <row r="929" spans="1:56" ht="12" customHeight="1">
      <c r="A929" s="12"/>
      <c r="B929" s="47"/>
      <c r="C929" s="12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8"/>
      <c r="AU929" s="48"/>
      <c r="AV929" s="48"/>
      <c r="AW929" s="48"/>
      <c r="AX929" s="48"/>
      <c r="AY929" s="48"/>
      <c r="AZ929" s="48"/>
      <c r="BA929" s="48"/>
      <c r="BB929" s="48"/>
      <c r="BC929" s="12"/>
      <c r="BD929" s="12"/>
    </row>
    <row r="930" spans="1:56" ht="12" customHeight="1">
      <c r="A930" s="12"/>
      <c r="B930" s="47"/>
      <c r="C930" s="12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  <c r="AS930" s="48"/>
      <c r="AT930" s="48"/>
      <c r="AU930" s="48"/>
      <c r="AV930" s="48"/>
      <c r="AW930" s="48"/>
      <c r="AX930" s="48"/>
      <c r="AY930" s="48"/>
      <c r="AZ930" s="48"/>
      <c r="BA930" s="48"/>
      <c r="BB930" s="48"/>
      <c r="BC930" s="12"/>
      <c r="BD930" s="12"/>
    </row>
    <row r="931" spans="1:56" ht="12" customHeight="1">
      <c r="A931" s="12"/>
      <c r="B931" s="47"/>
      <c r="C931" s="12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8"/>
      <c r="AU931" s="48"/>
      <c r="AV931" s="48"/>
      <c r="AW931" s="48"/>
      <c r="AX931" s="48"/>
      <c r="AY931" s="48"/>
      <c r="AZ931" s="48"/>
      <c r="BA931" s="48"/>
      <c r="BB931" s="48"/>
      <c r="BC931" s="12"/>
      <c r="BD931" s="12"/>
    </row>
    <row r="932" spans="1:56" ht="12" customHeight="1">
      <c r="A932" s="12"/>
      <c r="B932" s="47"/>
      <c r="C932" s="12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  <c r="AS932" s="48"/>
      <c r="AT932" s="48"/>
      <c r="AU932" s="48"/>
      <c r="AV932" s="48"/>
      <c r="AW932" s="48"/>
      <c r="AX932" s="48"/>
      <c r="AY932" s="48"/>
      <c r="AZ932" s="48"/>
      <c r="BA932" s="48"/>
      <c r="BB932" s="48"/>
      <c r="BC932" s="12"/>
      <c r="BD932" s="12"/>
    </row>
    <row r="933" spans="1:56" ht="12" customHeight="1">
      <c r="A933" s="12"/>
      <c r="B933" s="47"/>
      <c r="C933" s="12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  <c r="AS933" s="48"/>
      <c r="AT933" s="48"/>
      <c r="AU933" s="48"/>
      <c r="AV933" s="48"/>
      <c r="AW933" s="48"/>
      <c r="AX933" s="48"/>
      <c r="AY933" s="48"/>
      <c r="AZ933" s="48"/>
      <c r="BA933" s="48"/>
      <c r="BB933" s="48"/>
      <c r="BC933" s="12"/>
      <c r="BD933" s="12"/>
    </row>
    <row r="934" spans="1:56" ht="12" customHeight="1">
      <c r="A934" s="12"/>
      <c r="B934" s="47"/>
      <c r="C934" s="12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8"/>
      <c r="AU934" s="48"/>
      <c r="AV934" s="48"/>
      <c r="AW934" s="48"/>
      <c r="AX934" s="48"/>
      <c r="AY934" s="48"/>
      <c r="AZ934" s="48"/>
      <c r="BA934" s="48"/>
      <c r="BB934" s="48"/>
      <c r="BC934" s="12"/>
      <c r="BD934" s="12"/>
    </row>
    <row r="935" spans="1:56" ht="12" customHeight="1">
      <c r="A935" s="12"/>
      <c r="B935" s="47"/>
      <c r="C935" s="12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  <c r="AS935" s="48"/>
      <c r="AT935" s="48"/>
      <c r="AU935" s="48"/>
      <c r="AV935" s="48"/>
      <c r="AW935" s="48"/>
      <c r="AX935" s="48"/>
      <c r="AY935" s="48"/>
      <c r="AZ935" s="48"/>
      <c r="BA935" s="48"/>
      <c r="BB935" s="48"/>
      <c r="BC935" s="12"/>
      <c r="BD935" s="12"/>
    </row>
    <row r="936" spans="1:56" ht="12" customHeight="1">
      <c r="A936" s="12"/>
      <c r="B936" s="47"/>
      <c r="C936" s="12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  <c r="AS936" s="48"/>
      <c r="AT936" s="48"/>
      <c r="AU936" s="48"/>
      <c r="AV936" s="48"/>
      <c r="AW936" s="48"/>
      <c r="AX936" s="48"/>
      <c r="AY936" s="48"/>
      <c r="AZ936" s="48"/>
      <c r="BA936" s="48"/>
      <c r="BB936" s="48"/>
      <c r="BC936" s="12"/>
      <c r="BD936" s="12"/>
    </row>
    <row r="937" spans="1:56" ht="12" customHeight="1">
      <c r="A937" s="12"/>
      <c r="B937" s="47"/>
      <c r="C937" s="12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8"/>
      <c r="AU937" s="48"/>
      <c r="AV937" s="48"/>
      <c r="AW937" s="48"/>
      <c r="AX937" s="48"/>
      <c r="AY937" s="48"/>
      <c r="AZ937" s="48"/>
      <c r="BA937" s="48"/>
      <c r="BB937" s="48"/>
      <c r="BC937" s="12"/>
      <c r="BD937" s="12"/>
    </row>
    <row r="938" spans="1:56" ht="12" customHeight="1">
      <c r="A938" s="12"/>
      <c r="B938" s="47"/>
      <c r="C938" s="12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  <c r="AS938" s="48"/>
      <c r="AT938" s="48"/>
      <c r="AU938" s="48"/>
      <c r="AV938" s="48"/>
      <c r="AW938" s="48"/>
      <c r="AX938" s="48"/>
      <c r="AY938" s="48"/>
      <c r="AZ938" s="48"/>
      <c r="BA938" s="48"/>
      <c r="BB938" s="48"/>
      <c r="BC938" s="12"/>
      <c r="BD938" s="12"/>
    </row>
    <row r="939" spans="1:56" ht="12" customHeight="1">
      <c r="A939" s="12"/>
      <c r="B939" s="47"/>
      <c r="C939" s="12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  <c r="AS939" s="48"/>
      <c r="AT939" s="48"/>
      <c r="AU939" s="48"/>
      <c r="AV939" s="48"/>
      <c r="AW939" s="48"/>
      <c r="AX939" s="48"/>
      <c r="AY939" s="48"/>
      <c r="AZ939" s="48"/>
      <c r="BA939" s="48"/>
      <c r="BB939" s="48"/>
      <c r="BC939" s="12"/>
      <c r="BD939" s="12"/>
    </row>
    <row r="940" spans="1:56" ht="12" customHeight="1">
      <c r="A940" s="12"/>
      <c r="B940" s="47"/>
      <c r="C940" s="12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8"/>
      <c r="AU940" s="48"/>
      <c r="AV940" s="48"/>
      <c r="AW940" s="48"/>
      <c r="AX940" s="48"/>
      <c r="AY940" s="48"/>
      <c r="AZ940" s="48"/>
      <c r="BA940" s="48"/>
      <c r="BB940" s="48"/>
      <c r="BC940" s="12"/>
      <c r="BD940" s="12"/>
    </row>
    <row r="941" spans="1:56" ht="12" customHeight="1">
      <c r="A941" s="12"/>
      <c r="B941" s="47"/>
      <c r="C941" s="12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  <c r="AS941" s="48"/>
      <c r="AT941" s="48"/>
      <c r="AU941" s="48"/>
      <c r="AV941" s="48"/>
      <c r="AW941" s="48"/>
      <c r="AX941" s="48"/>
      <c r="AY941" s="48"/>
      <c r="AZ941" s="48"/>
      <c r="BA941" s="48"/>
      <c r="BB941" s="48"/>
      <c r="BC941" s="12"/>
      <c r="BD941" s="12"/>
    </row>
    <row r="942" spans="1:56" ht="12" customHeight="1">
      <c r="A942" s="12"/>
      <c r="B942" s="47"/>
      <c r="C942" s="12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  <c r="AX942" s="48"/>
      <c r="AY942" s="48"/>
      <c r="AZ942" s="48"/>
      <c r="BA942" s="48"/>
      <c r="BB942" s="48"/>
      <c r="BC942" s="12"/>
      <c r="BD942" s="12"/>
    </row>
    <row r="943" spans="1:56" ht="12" customHeight="1">
      <c r="A943" s="12"/>
      <c r="B943" s="47"/>
      <c r="C943" s="12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8"/>
      <c r="AU943" s="48"/>
      <c r="AV943" s="48"/>
      <c r="AW943" s="48"/>
      <c r="AX943" s="48"/>
      <c r="AY943" s="48"/>
      <c r="AZ943" s="48"/>
      <c r="BA943" s="48"/>
      <c r="BB943" s="48"/>
      <c r="BC943" s="12"/>
      <c r="BD943" s="12"/>
    </row>
    <row r="944" spans="1:56" ht="12" customHeight="1">
      <c r="A944" s="12"/>
      <c r="B944" s="47"/>
      <c r="C944" s="12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  <c r="AS944" s="48"/>
      <c r="AT944" s="48"/>
      <c r="AU944" s="48"/>
      <c r="AV944" s="48"/>
      <c r="AW944" s="48"/>
      <c r="AX944" s="48"/>
      <c r="AY944" s="48"/>
      <c r="AZ944" s="48"/>
      <c r="BA944" s="48"/>
      <c r="BB944" s="48"/>
      <c r="BC944" s="12"/>
      <c r="BD944" s="12"/>
    </row>
    <row r="945" spans="1:56" ht="12" customHeight="1">
      <c r="A945" s="12"/>
      <c r="B945" s="47"/>
      <c r="C945" s="12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  <c r="AS945" s="48"/>
      <c r="AT945" s="48"/>
      <c r="AU945" s="48"/>
      <c r="AV945" s="48"/>
      <c r="AW945" s="48"/>
      <c r="AX945" s="48"/>
      <c r="AY945" s="48"/>
      <c r="AZ945" s="48"/>
      <c r="BA945" s="48"/>
      <c r="BB945" s="48"/>
      <c r="BC945" s="12"/>
      <c r="BD945" s="12"/>
    </row>
    <row r="946" spans="1:56" ht="12" customHeight="1">
      <c r="A946" s="12"/>
      <c r="B946" s="47"/>
      <c r="C946" s="12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8"/>
      <c r="AU946" s="48"/>
      <c r="AV946" s="48"/>
      <c r="AW946" s="48"/>
      <c r="AX946" s="48"/>
      <c r="AY946" s="48"/>
      <c r="AZ946" s="48"/>
      <c r="BA946" s="48"/>
      <c r="BB946" s="48"/>
      <c r="BC946" s="12"/>
      <c r="BD946" s="12"/>
    </row>
    <row r="947" spans="1:56" ht="12" customHeight="1">
      <c r="A947" s="12"/>
      <c r="B947" s="47"/>
      <c r="C947" s="12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  <c r="AS947" s="48"/>
      <c r="AT947" s="48"/>
      <c r="AU947" s="48"/>
      <c r="AV947" s="48"/>
      <c r="AW947" s="48"/>
      <c r="AX947" s="48"/>
      <c r="AY947" s="48"/>
      <c r="AZ947" s="48"/>
      <c r="BA947" s="48"/>
      <c r="BB947" s="48"/>
      <c r="BC947" s="12"/>
      <c r="BD947" s="12"/>
    </row>
    <row r="948" spans="1:56" ht="12" customHeight="1">
      <c r="A948" s="12"/>
      <c r="B948" s="47"/>
      <c r="C948" s="12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  <c r="AS948" s="48"/>
      <c r="AT948" s="48"/>
      <c r="AU948" s="48"/>
      <c r="AV948" s="48"/>
      <c r="AW948" s="48"/>
      <c r="AX948" s="48"/>
      <c r="AY948" s="48"/>
      <c r="AZ948" s="48"/>
      <c r="BA948" s="48"/>
      <c r="BB948" s="48"/>
      <c r="BC948" s="12"/>
      <c r="BD948" s="12"/>
    </row>
    <row r="949" spans="1:56" ht="12" customHeight="1">
      <c r="A949" s="12"/>
      <c r="B949" s="47"/>
      <c r="C949" s="12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8"/>
      <c r="AU949" s="48"/>
      <c r="AV949" s="48"/>
      <c r="AW949" s="48"/>
      <c r="AX949" s="48"/>
      <c r="AY949" s="48"/>
      <c r="AZ949" s="48"/>
      <c r="BA949" s="48"/>
      <c r="BB949" s="48"/>
      <c r="BC949" s="12"/>
      <c r="BD949" s="12"/>
    </row>
    <row r="950" spans="1:56" ht="12" customHeight="1">
      <c r="A950" s="12"/>
      <c r="B950" s="47"/>
      <c r="C950" s="12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  <c r="AS950" s="48"/>
      <c r="AT950" s="48"/>
      <c r="AU950" s="48"/>
      <c r="AV950" s="48"/>
      <c r="AW950" s="48"/>
      <c r="AX950" s="48"/>
      <c r="AY950" s="48"/>
      <c r="AZ950" s="48"/>
      <c r="BA950" s="48"/>
      <c r="BB950" s="48"/>
      <c r="BC950" s="12"/>
      <c r="BD950" s="12"/>
    </row>
    <row r="951" spans="1:56" ht="12" customHeight="1">
      <c r="A951" s="12"/>
      <c r="B951" s="47"/>
      <c r="C951" s="12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  <c r="AS951" s="48"/>
      <c r="AT951" s="48"/>
      <c r="AU951" s="48"/>
      <c r="AV951" s="48"/>
      <c r="AW951" s="48"/>
      <c r="AX951" s="48"/>
      <c r="AY951" s="48"/>
      <c r="AZ951" s="48"/>
      <c r="BA951" s="48"/>
      <c r="BB951" s="48"/>
      <c r="BC951" s="12"/>
      <c r="BD951" s="12"/>
    </row>
    <row r="952" spans="1:56" ht="12" customHeight="1">
      <c r="A952" s="12"/>
      <c r="B952" s="47"/>
      <c r="C952" s="12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8"/>
      <c r="AU952" s="48"/>
      <c r="AV952" s="48"/>
      <c r="AW952" s="48"/>
      <c r="AX952" s="48"/>
      <c r="AY952" s="48"/>
      <c r="AZ952" s="48"/>
      <c r="BA952" s="48"/>
      <c r="BB952" s="48"/>
      <c r="BC952" s="12"/>
      <c r="BD952" s="12"/>
    </row>
    <row r="953" spans="1:56" ht="12" customHeight="1">
      <c r="A953" s="12"/>
      <c r="B953" s="47"/>
      <c r="C953" s="12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  <c r="AS953" s="48"/>
      <c r="AT953" s="48"/>
      <c r="AU953" s="48"/>
      <c r="AV953" s="48"/>
      <c r="AW953" s="48"/>
      <c r="AX953" s="48"/>
      <c r="AY953" s="48"/>
      <c r="AZ953" s="48"/>
      <c r="BA953" s="48"/>
      <c r="BB953" s="48"/>
      <c r="BC953" s="12"/>
      <c r="BD953" s="12"/>
    </row>
    <row r="954" spans="1:56" ht="12" customHeight="1">
      <c r="A954" s="12"/>
      <c r="B954" s="47"/>
      <c r="C954" s="12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  <c r="AS954" s="48"/>
      <c r="AT954" s="48"/>
      <c r="AU954" s="48"/>
      <c r="AV954" s="48"/>
      <c r="AW954" s="48"/>
      <c r="AX954" s="48"/>
      <c r="AY954" s="48"/>
      <c r="AZ954" s="48"/>
      <c r="BA954" s="48"/>
      <c r="BB954" s="48"/>
      <c r="BC954" s="12"/>
      <c r="BD954" s="12"/>
    </row>
    <row r="955" spans="1:56" ht="12" customHeight="1">
      <c r="A955" s="12"/>
      <c r="B955" s="47"/>
      <c r="C955" s="12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8"/>
      <c r="AU955" s="48"/>
      <c r="AV955" s="48"/>
      <c r="AW955" s="48"/>
      <c r="AX955" s="48"/>
      <c r="AY955" s="48"/>
      <c r="AZ955" s="48"/>
      <c r="BA955" s="48"/>
      <c r="BB955" s="48"/>
      <c r="BC955" s="12"/>
      <c r="BD955" s="12"/>
    </row>
    <row r="956" spans="1:56" ht="12" customHeight="1">
      <c r="A956" s="12"/>
      <c r="B956" s="47"/>
      <c r="C956" s="12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  <c r="AS956" s="48"/>
      <c r="AT956" s="48"/>
      <c r="AU956" s="48"/>
      <c r="AV956" s="48"/>
      <c r="AW956" s="48"/>
      <c r="AX956" s="48"/>
      <c r="AY956" s="48"/>
      <c r="AZ956" s="48"/>
      <c r="BA956" s="48"/>
      <c r="BB956" s="48"/>
      <c r="BC956" s="12"/>
      <c r="BD956" s="12"/>
    </row>
    <row r="957" spans="1:56" ht="12" customHeight="1">
      <c r="A957" s="12"/>
      <c r="B957" s="47"/>
      <c r="C957" s="12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  <c r="AS957" s="48"/>
      <c r="AT957" s="48"/>
      <c r="AU957" s="48"/>
      <c r="AV957" s="48"/>
      <c r="AW957" s="48"/>
      <c r="AX957" s="48"/>
      <c r="AY957" s="48"/>
      <c r="AZ957" s="48"/>
      <c r="BA957" s="48"/>
      <c r="BB957" s="48"/>
      <c r="BC957" s="12"/>
      <c r="BD957" s="12"/>
    </row>
    <row r="958" spans="1:56" ht="12" customHeight="1">
      <c r="A958" s="12"/>
      <c r="B958" s="47"/>
      <c r="C958" s="12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8"/>
      <c r="AU958" s="48"/>
      <c r="AV958" s="48"/>
      <c r="AW958" s="48"/>
      <c r="AX958" s="48"/>
      <c r="AY958" s="48"/>
      <c r="AZ958" s="48"/>
      <c r="BA958" s="48"/>
      <c r="BB958" s="48"/>
      <c r="BC958" s="12"/>
      <c r="BD958" s="12"/>
    </row>
    <row r="959" spans="1:56" ht="12" customHeight="1">
      <c r="A959" s="12"/>
      <c r="B959" s="47"/>
      <c r="C959" s="12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  <c r="AS959" s="48"/>
      <c r="AT959" s="48"/>
      <c r="AU959" s="48"/>
      <c r="AV959" s="48"/>
      <c r="AW959" s="48"/>
      <c r="AX959" s="48"/>
      <c r="AY959" s="48"/>
      <c r="AZ959" s="48"/>
      <c r="BA959" s="48"/>
      <c r="BB959" s="48"/>
      <c r="BC959" s="12"/>
      <c r="BD959" s="12"/>
    </row>
    <row r="960" spans="1:56" ht="12" customHeight="1">
      <c r="A960" s="12"/>
      <c r="B960" s="47"/>
      <c r="C960" s="12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  <c r="AS960" s="48"/>
      <c r="AT960" s="48"/>
      <c r="AU960" s="48"/>
      <c r="AV960" s="48"/>
      <c r="AW960" s="48"/>
      <c r="AX960" s="48"/>
      <c r="AY960" s="48"/>
      <c r="AZ960" s="48"/>
      <c r="BA960" s="48"/>
      <c r="BB960" s="48"/>
      <c r="BC960" s="12"/>
      <c r="BD960" s="12"/>
    </row>
    <row r="961" spans="1:56" ht="12" customHeight="1">
      <c r="A961" s="12"/>
      <c r="B961" s="47"/>
      <c r="C961" s="12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8"/>
      <c r="AU961" s="48"/>
      <c r="AV961" s="48"/>
      <c r="AW961" s="48"/>
      <c r="AX961" s="48"/>
      <c r="AY961" s="48"/>
      <c r="AZ961" s="48"/>
      <c r="BA961" s="48"/>
      <c r="BB961" s="48"/>
      <c r="BC961" s="12"/>
      <c r="BD961" s="12"/>
    </row>
    <row r="962" spans="1:56" ht="12" customHeight="1">
      <c r="A962" s="12"/>
      <c r="B962" s="47"/>
      <c r="C962" s="12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  <c r="AS962" s="48"/>
      <c r="AT962" s="48"/>
      <c r="AU962" s="48"/>
      <c r="AV962" s="48"/>
      <c r="AW962" s="48"/>
      <c r="AX962" s="48"/>
      <c r="AY962" s="48"/>
      <c r="AZ962" s="48"/>
      <c r="BA962" s="48"/>
      <c r="BB962" s="48"/>
      <c r="BC962" s="12"/>
      <c r="BD962" s="12"/>
    </row>
    <row r="963" spans="1:56" ht="12" customHeight="1">
      <c r="A963" s="12"/>
      <c r="B963" s="47"/>
      <c r="C963" s="12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  <c r="AS963" s="48"/>
      <c r="AT963" s="48"/>
      <c r="AU963" s="48"/>
      <c r="AV963" s="48"/>
      <c r="AW963" s="48"/>
      <c r="AX963" s="48"/>
      <c r="AY963" s="48"/>
      <c r="AZ963" s="48"/>
      <c r="BA963" s="48"/>
      <c r="BB963" s="48"/>
      <c r="BC963" s="12"/>
      <c r="BD963" s="12"/>
    </row>
    <row r="964" spans="1:56" ht="12" customHeight="1">
      <c r="A964" s="12"/>
      <c r="B964" s="47"/>
      <c r="C964" s="12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8"/>
      <c r="AU964" s="48"/>
      <c r="AV964" s="48"/>
      <c r="AW964" s="48"/>
      <c r="AX964" s="48"/>
      <c r="AY964" s="48"/>
      <c r="AZ964" s="48"/>
      <c r="BA964" s="48"/>
      <c r="BB964" s="48"/>
      <c r="BC964" s="12"/>
      <c r="BD964" s="12"/>
    </row>
    <row r="965" spans="1:56" ht="12" customHeight="1">
      <c r="A965" s="12"/>
      <c r="B965" s="47"/>
      <c r="C965" s="12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  <c r="AS965" s="48"/>
      <c r="AT965" s="48"/>
      <c r="AU965" s="48"/>
      <c r="AV965" s="48"/>
      <c r="AW965" s="48"/>
      <c r="AX965" s="48"/>
      <c r="AY965" s="48"/>
      <c r="AZ965" s="48"/>
      <c r="BA965" s="48"/>
      <c r="BB965" s="48"/>
      <c r="BC965" s="12"/>
      <c r="BD965" s="12"/>
    </row>
    <row r="966" spans="1:56" ht="12" customHeight="1">
      <c r="A966" s="12"/>
      <c r="B966" s="47"/>
      <c r="C966" s="12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  <c r="AS966" s="48"/>
      <c r="AT966" s="48"/>
      <c r="AU966" s="48"/>
      <c r="AV966" s="48"/>
      <c r="AW966" s="48"/>
      <c r="AX966" s="48"/>
      <c r="AY966" s="48"/>
      <c r="AZ966" s="48"/>
      <c r="BA966" s="48"/>
      <c r="BB966" s="48"/>
      <c r="BC966" s="12"/>
      <c r="BD966" s="12"/>
    </row>
    <row r="967" spans="1:56" ht="12" customHeight="1">
      <c r="A967" s="12"/>
      <c r="B967" s="47"/>
      <c r="C967" s="12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8"/>
      <c r="AU967" s="48"/>
      <c r="AV967" s="48"/>
      <c r="AW967" s="48"/>
      <c r="AX967" s="48"/>
      <c r="AY967" s="48"/>
      <c r="AZ967" s="48"/>
      <c r="BA967" s="48"/>
      <c r="BB967" s="48"/>
      <c r="BC967" s="12"/>
      <c r="BD967" s="12"/>
    </row>
    <row r="968" spans="1:56" ht="12" customHeight="1">
      <c r="A968" s="12"/>
      <c r="B968" s="47"/>
      <c r="C968" s="12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  <c r="AS968" s="48"/>
      <c r="AT968" s="48"/>
      <c r="AU968" s="48"/>
      <c r="AV968" s="48"/>
      <c r="AW968" s="48"/>
      <c r="AX968" s="48"/>
      <c r="AY968" s="48"/>
      <c r="AZ968" s="48"/>
      <c r="BA968" s="48"/>
      <c r="BB968" s="48"/>
      <c r="BC968" s="12"/>
      <c r="BD968" s="12"/>
    </row>
    <row r="969" spans="1:56" ht="12" customHeight="1">
      <c r="A969" s="12"/>
      <c r="B969" s="47"/>
      <c r="C969" s="12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  <c r="AS969" s="48"/>
      <c r="AT969" s="48"/>
      <c r="AU969" s="48"/>
      <c r="AV969" s="48"/>
      <c r="AW969" s="48"/>
      <c r="AX969" s="48"/>
      <c r="AY969" s="48"/>
      <c r="AZ969" s="48"/>
      <c r="BA969" s="48"/>
      <c r="BB969" s="48"/>
      <c r="BC969" s="12"/>
      <c r="BD969" s="12"/>
    </row>
    <row r="970" spans="1:56" ht="12" customHeight="1">
      <c r="A970" s="12"/>
      <c r="B970" s="47"/>
      <c r="C970" s="12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8"/>
      <c r="AU970" s="48"/>
      <c r="AV970" s="48"/>
      <c r="AW970" s="48"/>
      <c r="AX970" s="48"/>
      <c r="AY970" s="48"/>
      <c r="AZ970" s="48"/>
      <c r="BA970" s="48"/>
      <c r="BB970" s="48"/>
      <c r="BC970" s="12"/>
      <c r="BD970" s="12"/>
    </row>
    <row r="971" spans="1:56" ht="12" customHeight="1">
      <c r="A971" s="12"/>
      <c r="B971" s="47"/>
      <c r="C971" s="12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  <c r="AS971" s="48"/>
      <c r="AT971" s="48"/>
      <c r="AU971" s="48"/>
      <c r="AV971" s="48"/>
      <c r="AW971" s="48"/>
      <c r="AX971" s="48"/>
      <c r="AY971" s="48"/>
      <c r="AZ971" s="48"/>
      <c r="BA971" s="48"/>
      <c r="BB971" s="48"/>
      <c r="BC971" s="12"/>
      <c r="BD971" s="12"/>
    </row>
    <row r="972" spans="1:56" ht="12" customHeight="1">
      <c r="A972" s="12"/>
      <c r="B972" s="47"/>
      <c r="C972" s="12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  <c r="AS972" s="48"/>
      <c r="AT972" s="48"/>
      <c r="AU972" s="48"/>
      <c r="AV972" s="48"/>
      <c r="AW972" s="48"/>
      <c r="AX972" s="48"/>
      <c r="AY972" s="48"/>
      <c r="AZ972" s="48"/>
      <c r="BA972" s="48"/>
      <c r="BB972" s="48"/>
      <c r="BC972" s="12"/>
      <c r="BD972" s="12"/>
    </row>
    <row r="973" spans="1:56" ht="12" customHeight="1">
      <c r="A973" s="12"/>
      <c r="B973" s="47"/>
      <c r="C973" s="12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8"/>
      <c r="AU973" s="48"/>
      <c r="AV973" s="48"/>
      <c r="AW973" s="48"/>
      <c r="AX973" s="48"/>
      <c r="AY973" s="48"/>
      <c r="AZ973" s="48"/>
      <c r="BA973" s="48"/>
      <c r="BB973" s="48"/>
      <c r="BC973" s="12"/>
      <c r="BD973" s="12"/>
    </row>
    <row r="974" spans="1:56" ht="12" customHeight="1">
      <c r="A974" s="12"/>
      <c r="B974" s="47"/>
      <c r="C974" s="12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  <c r="AS974" s="48"/>
      <c r="AT974" s="48"/>
      <c r="AU974" s="48"/>
      <c r="AV974" s="48"/>
      <c r="AW974" s="48"/>
      <c r="AX974" s="48"/>
      <c r="AY974" s="48"/>
      <c r="AZ974" s="48"/>
      <c r="BA974" s="48"/>
      <c r="BB974" s="48"/>
      <c r="BC974" s="12"/>
      <c r="BD974" s="12"/>
    </row>
    <row r="975" spans="1:56" ht="12" customHeight="1">
      <c r="A975" s="12"/>
      <c r="B975" s="47"/>
      <c r="C975" s="12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  <c r="AS975" s="48"/>
      <c r="AT975" s="48"/>
      <c r="AU975" s="48"/>
      <c r="AV975" s="48"/>
      <c r="AW975" s="48"/>
      <c r="AX975" s="48"/>
      <c r="AY975" s="48"/>
      <c r="AZ975" s="48"/>
      <c r="BA975" s="48"/>
      <c r="BB975" s="48"/>
      <c r="BC975" s="12"/>
      <c r="BD975" s="12"/>
    </row>
    <row r="976" spans="1:56" ht="12" customHeight="1">
      <c r="A976" s="12"/>
      <c r="B976" s="47"/>
      <c r="C976" s="12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8"/>
      <c r="AU976" s="48"/>
      <c r="AV976" s="48"/>
      <c r="AW976" s="48"/>
      <c r="AX976" s="48"/>
      <c r="AY976" s="48"/>
      <c r="AZ976" s="48"/>
      <c r="BA976" s="48"/>
      <c r="BB976" s="48"/>
      <c r="BC976" s="12"/>
      <c r="BD976" s="12"/>
    </row>
    <row r="977" spans="1:56" ht="12" customHeight="1">
      <c r="A977" s="12"/>
      <c r="B977" s="47"/>
      <c r="C977" s="12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  <c r="AS977" s="48"/>
      <c r="AT977" s="48"/>
      <c r="AU977" s="48"/>
      <c r="AV977" s="48"/>
      <c r="AW977" s="48"/>
      <c r="AX977" s="48"/>
      <c r="AY977" s="48"/>
      <c r="AZ977" s="48"/>
      <c r="BA977" s="48"/>
      <c r="BB977" s="48"/>
      <c r="BC977" s="12"/>
      <c r="BD977" s="12"/>
    </row>
    <row r="978" spans="1:56" ht="12" customHeight="1">
      <c r="A978" s="12"/>
      <c r="B978" s="47"/>
      <c r="C978" s="12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  <c r="AS978" s="48"/>
      <c r="AT978" s="48"/>
      <c r="AU978" s="48"/>
      <c r="AV978" s="48"/>
      <c r="AW978" s="48"/>
      <c r="AX978" s="48"/>
      <c r="AY978" s="48"/>
      <c r="AZ978" s="48"/>
      <c r="BA978" s="48"/>
      <c r="BB978" s="48"/>
      <c r="BC978" s="12"/>
      <c r="BD978" s="12"/>
    </row>
    <row r="979" spans="1:56" ht="12" customHeight="1">
      <c r="A979" s="12"/>
      <c r="B979" s="47"/>
      <c r="C979" s="12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8"/>
      <c r="AU979" s="48"/>
      <c r="AV979" s="48"/>
      <c r="AW979" s="48"/>
      <c r="AX979" s="48"/>
      <c r="AY979" s="48"/>
      <c r="AZ979" s="48"/>
      <c r="BA979" s="48"/>
      <c r="BB979" s="48"/>
      <c r="BC979" s="12"/>
      <c r="BD979" s="12"/>
    </row>
    <row r="980" spans="1:56" ht="12" customHeight="1">
      <c r="A980" s="12"/>
      <c r="B980" s="47"/>
      <c r="C980" s="12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  <c r="AS980" s="48"/>
      <c r="AT980" s="48"/>
      <c r="AU980" s="48"/>
      <c r="AV980" s="48"/>
      <c r="AW980" s="48"/>
      <c r="AX980" s="48"/>
      <c r="AY980" s="48"/>
      <c r="AZ980" s="48"/>
      <c r="BA980" s="48"/>
      <c r="BB980" s="48"/>
      <c r="BC980" s="12"/>
      <c r="BD980" s="12"/>
    </row>
    <row r="981" spans="1:56" ht="12" customHeight="1">
      <c r="A981" s="12"/>
      <c r="B981" s="47"/>
      <c r="C981" s="12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  <c r="AS981" s="48"/>
      <c r="AT981" s="48"/>
      <c r="AU981" s="48"/>
      <c r="AV981" s="48"/>
      <c r="AW981" s="48"/>
      <c r="AX981" s="48"/>
      <c r="AY981" s="48"/>
      <c r="AZ981" s="48"/>
      <c r="BA981" s="48"/>
      <c r="BB981" s="48"/>
      <c r="BC981" s="12"/>
      <c r="BD981" s="12"/>
    </row>
    <row r="982" spans="1:56" ht="12" customHeight="1">
      <c r="A982" s="12"/>
      <c r="B982" s="47"/>
      <c r="C982" s="12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  <c r="AX982" s="48"/>
      <c r="AY982" s="48"/>
      <c r="AZ982" s="48"/>
      <c r="BA982" s="48"/>
      <c r="BB982" s="48"/>
      <c r="BC982" s="12"/>
      <c r="BD982" s="12"/>
    </row>
    <row r="983" spans="1:56" ht="12" customHeight="1">
      <c r="A983" s="12"/>
      <c r="B983" s="47"/>
      <c r="C983" s="12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  <c r="AS983" s="48"/>
      <c r="AT983" s="48"/>
      <c r="AU983" s="48"/>
      <c r="AV983" s="48"/>
      <c r="AW983" s="48"/>
      <c r="AX983" s="48"/>
      <c r="AY983" s="48"/>
      <c r="AZ983" s="48"/>
      <c r="BA983" s="48"/>
      <c r="BB983" s="48"/>
      <c r="BC983" s="12"/>
      <c r="BD983" s="12"/>
    </row>
    <row r="984" spans="1:56" ht="12" customHeight="1">
      <c r="A984" s="12"/>
      <c r="B984" s="47"/>
      <c r="C984" s="12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  <c r="AS984" s="48"/>
      <c r="AT984" s="48"/>
      <c r="AU984" s="48"/>
      <c r="AV984" s="48"/>
      <c r="AW984" s="48"/>
      <c r="AX984" s="48"/>
      <c r="AY984" s="48"/>
      <c r="AZ984" s="48"/>
      <c r="BA984" s="48"/>
      <c r="BB984" s="48"/>
      <c r="BC984" s="12"/>
      <c r="BD984" s="12"/>
    </row>
    <row r="985" spans="1:56" ht="12" customHeight="1">
      <c r="A985" s="12"/>
      <c r="B985" s="47"/>
      <c r="C985" s="12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8"/>
      <c r="AU985" s="48"/>
      <c r="AV985" s="48"/>
      <c r="AW985" s="48"/>
      <c r="AX985" s="48"/>
      <c r="AY985" s="48"/>
      <c r="AZ985" s="48"/>
      <c r="BA985" s="48"/>
      <c r="BB985" s="48"/>
      <c r="BC985" s="12"/>
      <c r="BD985" s="12"/>
    </row>
    <row r="986" spans="1:56" ht="12" customHeight="1">
      <c r="A986" s="12"/>
      <c r="B986" s="47"/>
      <c r="C986" s="12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48"/>
      <c r="AU986" s="48"/>
      <c r="AV986" s="48"/>
      <c r="AW986" s="48"/>
      <c r="AX986" s="48"/>
      <c r="AY986" s="48"/>
      <c r="AZ986" s="48"/>
      <c r="BA986" s="48"/>
      <c r="BB986" s="48"/>
      <c r="BC986" s="12"/>
      <c r="BD986" s="12"/>
    </row>
    <row r="987" spans="1:56" ht="12" customHeight="1">
      <c r="A987" s="12"/>
      <c r="B987" s="47"/>
      <c r="C987" s="12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  <c r="AS987" s="48"/>
      <c r="AT987" s="48"/>
      <c r="AU987" s="48"/>
      <c r="AV987" s="48"/>
      <c r="AW987" s="48"/>
      <c r="AX987" s="48"/>
      <c r="AY987" s="48"/>
      <c r="AZ987" s="48"/>
      <c r="BA987" s="48"/>
      <c r="BB987" s="48"/>
      <c r="BC987" s="12"/>
      <c r="BD987" s="12"/>
    </row>
    <row r="988" spans="1:56" ht="12" customHeight="1">
      <c r="A988" s="12"/>
      <c r="B988" s="47"/>
      <c r="C988" s="12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8"/>
      <c r="AU988" s="48"/>
      <c r="AV988" s="48"/>
      <c r="AW988" s="48"/>
      <c r="AX988" s="48"/>
      <c r="AY988" s="48"/>
      <c r="AZ988" s="48"/>
      <c r="BA988" s="48"/>
      <c r="BB988" s="48"/>
      <c r="BC988" s="12"/>
      <c r="BD988" s="12"/>
    </row>
    <row r="989" spans="1:56" ht="12" customHeight="1">
      <c r="A989" s="12"/>
      <c r="B989" s="47"/>
      <c r="C989" s="12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  <c r="AS989" s="48"/>
      <c r="AT989" s="48"/>
      <c r="AU989" s="48"/>
      <c r="AV989" s="48"/>
      <c r="AW989" s="48"/>
      <c r="AX989" s="48"/>
      <c r="AY989" s="48"/>
      <c r="AZ989" s="48"/>
      <c r="BA989" s="48"/>
      <c r="BB989" s="48"/>
      <c r="BC989" s="12"/>
      <c r="BD989" s="12"/>
    </row>
    <row r="990" spans="1:56" ht="12" customHeight="1">
      <c r="A990" s="12"/>
      <c r="B990" s="47"/>
      <c r="C990" s="12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  <c r="AS990" s="48"/>
      <c r="AT990" s="48"/>
      <c r="AU990" s="48"/>
      <c r="AV990" s="48"/>
      <c r="AW990" s="48"/>
      <c r="AX990" s="48"/>
      <c r="AY990" s="48"/>
      <c r="AZ990" s="48"/>
      <c r="BA990" s="48"/>
      <c r="BB990" s="48"/>
      <c r="BC990" s="12"/>
      <c r="BD990" s="12"/>
    </row>
    <row r="991" spans="1:56" ht="12" customHeight="1">
      <c r="A991" s="12"/>
      <c r="B991" s="47"/>
      <c r="C991" s="12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/>
      <c r="AW991" s="48"/>
      <c r="AX991" s="48"/>
      <c r="AY991" s="48"/>
      <c r="AZ991" s="48"/>
      <c r="BA991" s="48"/>
      <c r="BB991" s="48"/>
      <c r="BC991" s="12"/>
      <c r="BD991" s="12"/>
    </row>
    <row r="992" spans="1:56" ht="12" customHeight="1">
      <c r="A992" s="12"/>
      <c r="B992" s="47"/>
      <c r="C992" s="12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  <c r="AS992" s="48"/>
      <c r="AT992" s="48"/>
      <c r="AU992" s="48"/>
      <c r="AV992" s="48"/>
      <c r="AW992" s="48"/>
      <c r="AX992" s="48"/>
      <c r="AY992" s="48"/>
      <c r="AZ992" s="48"/>
      <c r="BA992" s="48"/>
      <c r="BB992" s="48"/>
      <c r="BC992" s="12"/>
      <c r="BD992" s="12"/>
    </row>
    <row r="993" spans="1:56" ht="12" customHeight="1">
      <c r="A993" s="12"/>
      <c r="B993" s="47"/>
      <c r="C993" s="12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  <c r="AS993" s="48"/>
      <c r="AT993" s="48"/>
      <c r="AU993" s="48"/>
      <c r="AV993" s="48"/>
      <c r="AW993" s="48"/>
      <c r="AX993" s="48"/>
      <c r="AY993" s="48"/>
      <c r="AZ993" s="48"/>
      <c r="BA993" s="48"/>
      <c r="BB993" s="48"/>
      <c r="BC993" s="12"/>
      <c r="BD993" s="12"/>
    </row>
    <row r="994" spans="1:56" ht="12" customHeight="1">
      <c r="A994" s="12"/>
      <c r="B994" s="47"/>
      <c r="C994" s="12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  <c r="AS994" s="48"/>
      <c r="AT994" s="48"/>
      <c r="AU994" s="48"/>
      <c r="AV994" s="48"/>
      <c r="AW994" s="48"/>
      <c r="AX994" s="48"/>
      <c r="AY994" s="48"/>
      <c r="AZ994" s="48"/>
      <c r="BA994" s="48"/>
      <c r="BB994" s="48"/>
      <c r="BC994" s="12"/>
      <c r="BD994" s="12"/>
    </row>
    <row r="995" spans="1:56" ht="12" customHeight="1">
      <c r="A995" s="12"/>
      <c r="B995" s="47"/>
      <c r="C995" s="12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  <c r="AR995" s="48"/>
      <c r="AS995" s="48"/>
      <c r="AT995" s="48"/>
      <c r="AU995" s="48"/>
      <c r="AV995" s="48"/>
      <c r="AW995" s="48"/>
      <c r="AX995" s="48"/>
      <c r="AY995" s="48"/>
      <c r="AZ995" s="48"/>
      <c r="BA995" s="48"/>
      <c r="BB995" s="48"/>
      <c r="BC995" s="12"/>
      <c r="BD995" s="12"/>
    </row>
    <row r="996" spans="1:56" ht="12" customHeight="1">
      <c r="A996" s="12"/>
      <c r="B996" s="47"/>
      <c r="C996" s="12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  <c r="AR996" s="48"/>
      <c r="AS996" s="48"/>
      <c r="AT996" s="48"/>
      <c r="AU996" s="48"/>
      <c r="AV996" s="48"/>
      <c r="AW996" s="48"/>
      <c r="AX996" s="48"/>
      <c r="AY996" s="48"/>
      <c r="AZ996" s="48"/>
      <c r="BA996" s="48"/>
      <c r="BB996" s="48"/>
      <c r="BC996" s="12"/>
      <c r="BD996" s="12"/>
    </row>
    <row r="997" spans="1:56" ht="12" customHeight="1">
      <c r="A997" s="12"/>
      <c r="B997" s="47"/>
      <c r="C997" s="12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  <c r="AR997" s="48"/>
      <c r="AS997" s="48"/>
      <c r="AT997" s="48"/>
      <c r="AU997" s="48"/>
      <c r="AV997" s="48"/>
      <c r="AW997" s="48"/>
      <c r="AX997" s="48"/>
      <c r="AY997" s="48"/>
      <c r="AZ997" s="48"/>
      <c r="BA997" s="48"/>
      <c r="BB997" s="48"/>
      <c r="BC997" s="12"/>
      <c r="BD997" s="12"/>
    </row>
    <row r="998" spans="1:56" ht="12" customHeight="1">
      <c r="A998" s="12"/>
      <c r="B998" s="47"/>
      <c r="C998" s="12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  <c r="AR998" s="48"/>
      <c r="AS998" s="48"/>
      <c r="AT998" s="48"/>
      <c r="AU998" s="48"/>
      <c r="AV998" s="48"/>
      <c r="AW998" s="48"/>
      <c r="AX998" s="48"/>
      <c r="AY998" s="48"/>
      <c r="AZ998" s="48"/>
      <c r="BA998" s="48"/>
      <c r="BB998" s="48"/>
      <c r="BC998" s="12"/>
      <c r="BD998" s="12"/>
    </row>
    <row r="999" spans="1:56" ht="12" customHeight="1">
      <c r="A999" s="12"/>
      <c r="B999" s="47"/>
      <c r="C999" s="12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  <c r="AR999" s="48"/>
      <c r="AS999" s="48"/>
      <c r="AT999" s="48"/>
      <c r="AU999" s="48"/>
      <c r="AV999" s="48"/>
      <c r="AW999" s="48"/>
      <c r="AX999" s="48"/>
      <c r="AY999" s="48"/>
      <c r="AZ999" s="48"/>
      <c r="BA999" s="48"/>
      <c r="BB999" s="48"/>
      <c r="BC999" s="12"/>
      <c r="BD999" s="12"/>
    </row>
  </sheetData>
  <mergeCells count="24">
    <mergeCell ref="AU90:AX91"/>
    <mergeCell ref="AY90:BB91"/>
    <mergeCell ref="AM2:AN2"/>
    <mergeCell ref="AO2:AP2"/>
    <mergeCell ref="AQ2:AR2"/>
    <mergeCell ref="AS2:AT2"/>
    <mergeCell ref="AU2:AV2"/>
    <mergeCell ref="AY2:AZ2"/>
    <mergeCell ref="BA2:BB2"/>
    <mergeCell ref="AE2:AF2"/>
    <mergeCell ref="AG2:AH2"/>
    <mergeCell ref="AI2:AJ2"/>
    <mergeCell ref="AK2:AL2"/>
    <mergeCell ref="AW2:AX2"/>
    <mergeCell ref="U2:V2"/>
    <mergeCell ref="W2:X2"/>
    <mergeCell ref="Y2:Z2"/>
    <mergeCell ref="AA2:AB2"/>
    <mergeCell ref="AC2:AD2"/>
    <mergeCell ref="K2:L2"/>
    <mergeCell ref="M2:N2"/>
    <mergeCell ref="O2:P2"/>
    <mergeCell ref="Q2:R2"/>
    <mergeCell ref="S2:T2"/>
  </mergeCells>
  <hyperlinks>
    <hyperlink ref="H4" r:id="rId1" xr:uid="{00000000-0004-0000-0000-000000000000}"/>
  </hyperlinks>
  <pageMargins left="3.937007874015748E-2" right="3.937007874015748E-2" top="0.19685039370078741" bottom="0" header="0" footer="0"/>
  <pageSetup paperSize="9" scale="4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8"/>
  <sheetViews>
    <sheetView showGridLines="0" tabSelected="1" view="pageBreakPreview" zoomScaleNormal="100" zoomScaleSheetLayoutView="100" workbookViewId="0">
      <pane xSplit="2" ySplit="5" topLeftCell="C19" activePane="bottomRight" state="frozen"/>
      <selection pane="topRight" activeCell="C1" sqref="C1"/>
      <selection pane="bottomLeft" activeCell="A6" sqref="A6"/>
      <selection pane="bottomRight" activeCell="D7" sqref="D7"/>
    </sheetView>
  </sheetViews>
  <sheetFormatPr defaultColWidth="14.44140625" defaultRowHeight="15" customHeight="1"/>
  <cols>
    <col min="1" max="1" width="10.44140625" customWidth="1"/>
    <col min="2" max="2" width="11.5546875" customWidth="1"/>
    <col min="3" max="6" width="10.44140625" customWidth="1"/>
    <col min="7" max="7" width="11.5546875" customWidth="1"/>
    <col min="8" max="11" width="10.44140625" customWidth="1"/>
    <col min="12" max="12" width="11.109375" customWidth="1"/>
    <col min="13" max="13" width="11.44140625" customWidth="1"/>
    <col min="14" max="26" width="11.5546875" customWidth="1"/>
  </cols>
  <sheetData>
    <row r="1" spans="1:26" ht="13.5" customHeight="1"/>
    <row r="2" spans="1:26" ht="19.5" customHeight="1">
      <c r="A2" s="57" t="s">
        <v>125</v>
      </c>
    </row>
    <row r="3" spans="1:26" ht="13.5" customHeight="1"/>
    <row r="4" spans="1:26" ht="13.5" customHeight="1">
      <c r="A4" s="167"/>
      <c r="B4" s="58" t="s">
        <v>1</v>
      </c>
      <c r="C4" s="58" t="s">
        <v>2</v>
      </c>
      <c r="D4" s="58" t="s">
        <v>2</v>
      </c>
      <c r="E4" s="58" t="s">
        <v>126</v>
      </c>
      <c r="F4" s="58" t="s">
        <v>2</v>
      </c>
      <c r="G4" s="58"/>
      <c r="H4" s="58"/>
      <c r="I4" s="58"/>
      <c r="J4" s="58"/>
      <c r="K4" s="165"/>
      <c r="L4" s="58"/>
      <c r="M4" s="58"/>
      <c r="N4" s="165"/>
      <c r="O4" s="165"/>
      <c r="P4" s="58" t="s">
        <v>127</v>
      </c>
      <c r="Q4" s="58"/>
      <c r="R4" s="58"/>
      <c r="S4" s="58"/>
      <c r="T4" s="165"/>
      <c r="U4" s="58"/>
      <c r="V4" s="58"/>
      <c r="W4" s="58"/>
      <c r="X4" s="58"/>
      <c r="Y4" s="58"/>
      <c r="Z4" s="166"/>
    </row>
    <row r="5" spans="1:26" ht="13.5" customHeight="1">
      <c r="A5" s="62"/>
      <c r="B5" s="59" t="s">
        <v>128</v>
      </c>
      <c r="C5" s="60">
        <v>46132</v>
      </c>
      <c r="D5" s="60">
        <v>46139</v>
      </c>
      <c r="E5" s="60">
        <v>46153</v>
      </c>
      <c r="F5" s="60">
        <v>46167</v>
      </c>
      <c r="G5" s="60">
        <v>46181</v>
      </c>
      <c r="H5" s="60">
        <v>46195</v>
      </c>
      <c r="I5" s="60">
        <v>46210</v>
      </c>
      <c r="J5" s="60">
        <v>46217</v>
      </c>
      <c r="K5" s="60">
        <v>46271</v>
      </c>
      <c r="L5" s="60">
        <v>46294</v>
      </c>
      <c r="M5" s="60">
        <v>46301</v>
      </c>
      <c r="N5" s="60">
        <v>46322</v>
      </c>
      <c r="O5" s="60">
        <v>46336</v>
      </c>
      <c r="P5" s="60">
        <v>46364</v>
      </c>
      <c r="Q5" s="60">
        <v>46371</v>
      </c>
      <c r="R5" s="60">
        <v>46406</v>
      </c>
      <c r="S5" s="60">
        <v>46413</v>
      </c>
      <c r="T5" s="60">
        <v>46427</v>
      </c>
      <c r="U5" s="60">
        <v>46434</v>
      </c>
      <c r="V5" s="60"/>
      <c r="W5" s="60"/>
      <c r="X5" s="60"/>
      <c r="Y5" s="60"/>
      <c r="Z5" s="61"/>
    </row>
    <row r="6" spans="1:26" ht="13.5" customHeight="1">
      <c r="A6" s="170" t="s">
        <v>129</v>
      </c>
      <c r="B6" s="161" t="s">
        <v>11</v>
      </c>
      <c r="C6" s="63">
        <v>400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4">
        <f t="shared" ref="Z6:Z36" si="0">SUM(C6:Y6)</f>
        <v>400</v>
      </c>
    </row>
    <row r="7" spans="1:26" ht="13.5" customHeight="1">
      <c r="A7" s="171"/>
      <c r="B7" s="144" t="s">
        <v>130</v>
      </c>
      <c r="C7" s="67" t="s">
        <v>131</v>
      </c>
      <c r="D7" s="67"/>
      <c r="E7" s="67"/>
      <c r="F7" s="67"/>
      <c r="G7" s="75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76">
        <f t="shared" si="0"/>
        <v>0</v>
      </c>
    </row>
    <row r="8" spans="1:26" ht="13.5" customHeight="1">
      <c r="A8" s="171"/>
      <c r="B8" s="144"/>
      <c r="C8" s="67">
        <v>220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8">
        <f t="shared" si="0"/>
        <v>220</v>
      </c>
    </row>
    <row r="9" spans="1:26" ht="13.5" customHeight="1">
      <c r="A9" s="171"/>
      <c r="B9" s="162"/>
      <c r="C9" s="67" t="s">
        <v>132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8">
        <f t="shared" si="0"/>
        <v>0</v>
      </c>
    </row>
    <row r="10" spans="1:26" ht="13.5" customHeight="1">
      <c r="A10" s="171"/>
      <c r="B10" s="162"/>
      <c r="C10" s="67">
        <v>46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8">
        <f t="shared" si="0"/>
        <v>46</v>
      </c>
    </row>
    <row r="11" spans="1:26" ht="13.5" customHeight="1">
      <c r="A11" s="171"/>
      <c r="B11" s="162"/>
      <c r="C11" s="67" t="s">
        <v>133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8">
        <f t="shared" si="0"/>
        <v>0</v>
      </c>
    </row>
    <row r="12" spans="1:26" ht="13.5" customHeight="1">
      <c r="A12" s="171"/>
      <c r="B12" s="162"/>
      <c r="C12" s="67">
        <v>319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8">
        <f t="shared" si="0"/>
        <v>319</v>
      </c>
    </row>
    <row r="13" spans="1:26" ht="13.5" customHeight="1">
      <c r="A13" s="171"/>
      <c r="B13" s="162"/>
      <c r="C13" s="67"/>
      <c r="D13" s="67" t="s">
        <v>193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8">
        <f t="shared" si="0"/>
        <v>0</v>
      </c>
    </row>
    <row r="14" spans="1:26" ht="13.5" customHeight="1">
      <c r="A14" s="171"/>
      <c r="B14" s="163"/>
      <c r="C14" s="86"/>
      <c r="D14" s="86">
        <v>65</v>
      </c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68">
        <f t="shared" si="0"/>
        <v>65</v>
      </c>
    </row>
    <row r="15" spans="1:26" ht="13.5" customHeight="1">
      <c r="A15" s="171"/>
      <c r="B15" s="163"/>
      <c r="C15" s="86"/>
      <c r="D15" s="86" t="s">
        <v>194</v>
      </c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68">
        <f t="shared" si="0"/>
        <v>0</v>
      </c>
    </row>
    <row r="16" spans="1:26" ht="13.5" customHeight="1">
      <c r="A16" s="171"/>
      <c r="B16" s="163"/>
      <c r="C16" s="86"/>
      <c r="D16" s="86">
        <v>24</v>
      </c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68">
        <f t="shared" si="0"/>
        <v>24</v>
      </c>
    </row>
    <row r="17" spans="1:26" ht="13.5" customHeight="1">
      <c r="A17" s="171"/>
      <c r="B17" s="163"/>
      <c r="C17" s="86"/>
      <c r="D17" s="86" t="s">
        <v>195</v>
      </c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68">
        <f t="shared" si="0"/>
        <v>0</v>
      </c>
    </row>
    <row r="18" spans="1:26" ht="13.5" customHeight="1">
      <c r="A18" s="171"/>
      <c r="B18" s="163"/>
      <c r="C18" s="86"/>
      <c r="D18" s="86">
        <v>50</v>
      </c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68">
        <f t="shared" si="0"/>
        <v>50</v>
      </c>
    </row>
    <row r="19" spans="1:26" ht="13.5" customHeight="1">
      <c r="A19" s="171"/>
      <c r="B19" s="163"/>
      <c r="C19" s="86"/>
      <c r="D19" s="86" t="s">
        <v>196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68">
        <f t="shared" si="0"/>
        <v>0</v>
      </c>
    </row>
    <row r="20" spans="1:26" ht="13.5" customHeight="1">
      <c r="A20" s="171"/>
      <c r="B20" s="163"/>
      <c r="C20" s="86"/>
      <c r="D20" s="86">
        <v>198</v>
      </c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68">
        <f t="shared" si="0"/>
        <v>198</v>
      </c>
    </row>
    <row r="21" spans="1:26" ht="13.5" customHeight="1">
      <c r="A21" s="171"/>
      <c r="B21" s="163"/>
      <c r="C21" s="86"/>
      <c r="D21" s="86" t="s">
        <v>197</v>
      </c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68">
        <f t="shared" si="0"/>
        <v>0</v>
      </c>
    </row>
    <row r="22" spans="1:26" ht="13.5" customHeight="1">
      <c r="A22" s="171"/>
      <c r="B22" s="163"/>
      <c r="C22" s="86"/>
      <c r="D22" s="86">
        <v>61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68"/>
    </row>
    <row r="23" spans="1:26" ht="13.5" customHeight="1">
      <c r="A23" s="171"/>
      <c r="B23" s="163"/>
      <c r="C23" s="86"/>
      <c r="D23" s="86" t="s">
        <v>198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68"/>
    </row>
    <row r="24" spans="1:26" ht="13.5" customHeight="1">
      <c r="A24" s="171"/>
      <c r="B24" s="163"/>
      <c r="C24" s="86"/>
      <c r="D24" s="86">
        <v>175</v>
      </c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68"/>
    </row>
    <row r="25" spans="1:26" ht="13.5" customHeight="1">
      <c r="A25" s="171"/>
      <c r="B25" s="163"/>
      <c r="C25" s="86"/>
      <c r="D25" s="86" t="s">
        <v>199</v>
      </c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68"/>
    </row>
    <row r="26" spans="1:26" ht="13.5" customHeight="1">
      <c r="A26" s="171"/>
      <c r="B26" s="163"/>
      <c r="C26" s="86"/>
      <c r="D26" s="86">
        <v>30</v>
      </c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68"/>
    </row>
    <row r="27" spans="1:26" ht="13.5" customHeight="1">
      <c r="A27" s="171"/>
      <c r="B27" s="163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68"/>
    </row>
    <row r="28" spans="1:26" ht="13.5" customHeight="1">
      <c r="A28" s="171"/>
      <c r="B28" s="163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68"/>
    </row>
    <row r="29" spans="1:26" ht="13.5" customHeight="1">
      <c r="A29" s="171"/>
      <c r="B29" s="163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68"/>
    </row>
    <row r="30" spans="1:26" ht="13.5" customHeight="1">
      <c r="A30" s="171"/>
      <c r="B30" s="163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68"/>
    </row>
    <row r="31" spans="1:26" ht="13.5" customHeight="1">
      <c r="A31" s="171"/>
      <c r="B31" s="163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68"/>
    </row>
    <row r="32" spans="1:26" ht="13.5" customHeight="1">
      <c r="A32" s="171"/>
      <c r="B32" s="163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68">
        <f t="shared" si="0"/>
        <v>0</v>
      </c>
    </row>
    <row r="33" spans="1:26" ht="13.5" customHeight="1">
      <c r="A33" s="171"/>
      <c r="B33" s="163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68">
        <f t="shared" si="0"/>
        <v>0</v>
      </c>
    </row>
    <row r="34" spans="1:26" ht="13.5" customHeight="1">
      <c r="A34" s="171"/>
      <c r="B34" s="163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68">
        <f t="shared" si="0"/>
        <v>0</v>
      </c>
    </row>
    <row r="35" spans="1:26" ht="13.5" customHeight="1">
      <c r="A35" s="171"/>
      <c r="B35" s="163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68">
        <f t="shared" si="0"/>
        <v>0</v>
      </c>
    </row>
    <row r="36" spans="1:26" ht="13.5" customHeight="1">
      <c r="A36" s="171"/>
      <c r="B36" s="164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70">
        <f t="shared" si="0"/>
        <v>0</v>
      </c>
    </row>
    <row r="37" spans="1:26" ht="13.5" customHeight="1">
      <c r="A37" s="171"/>
      <c r="B37" s="71" t="s">
        <v>115</v>
      </c>
      <c r="C37" s="72">
        <f t="shared" ref="C37:Z37" si="1">SUM(C7:C36)</f>
        <v>585</v>
      </c>
      <c r="D37" s="72">
        <f t="shared" si="1"/>
        <v>603</v>
      </c>
      <c r="E37" s="72">
        <f t="shared" si="1"/>
        <v>0</v>
      </c>
      <c r="F37" s="72">
        <f t="shared" si="1"/>
        <v>0</v>
      </c>
      <c r="G37" s="72">
        <f t="shared" si="1"/>
        <v>0</v>
      </c>
      <c r="H37" s="72">
        <f t="shared" si="1"/>
        <v>0</v>
      </c>
      <c r="I37" s="72">
        <f t="shared" si="1"/>
        <v>0</v>
      </c>
      <c r="J37" s="72">
        <f t="shared" si="1"/>
        <v>0</v>
      </c>
      <c r="K37" s="72">
        <f t="shared" si="1"/>
        <v>0</v>
      </c>
      <c r="L37" s="72">
        <f t="shared" si="1"/>
        <v>0</v>
      </c>
      <c r="M37" s="72">
        <f t="shared" si="1"/>
        <v>0</v>
      </c>
      <c r="N37" s="72">
        <f t="shared" si="1"/>
        <v>0</v>
      </c>
      <c r="O37" s="72">
        <f t="shared" si="1"/>
        <v>0</v>
      </c>
      <c r="P37" s="72">
        <f t="shared" si="1"/>
        <v>0</v>
      </c>
      <c r="Q37" s="72">
        <f t="shared" si="1"/>
        <v>0</v>
      </c>
      <c r="R37" s="72">
        <f t="shared" si="1"/>
        <v>0</v>
      </c>
      <c r="S37" s="72">
        <f t="shared" si="1"/>
        <v>0</v>
      </c>
      <c r="T37" s="72">
        <f t="shared" si="1"/>
        <v>0</v>
      </c>
      <c r="U37" s="72">
        <f t="shared" si="1"/>
        <v>0</v>
      </c>
      <c r="V37" s="72">
        <f t="shared" si="1"/>
        <v>0</v>
      </c>
      <c r="W37" s="72">
        <f t="shared" si="1"/>
        <v>0</v>
      </c>
      <c r="X37" s="72">
        <f t="shared" si="1"/>
        <v>0</v>
      </c>
      <c r="Y37" s="72">
        <f t="shared" si="1"/>
        <v>0</v>
      </c>
      <c r="Z37" s="73">
        <f t="shared" si="1"/>
        <v>922</v>
      </c>
    </row>
    <row r="38" spans="1:26" ht="13.5" customHeight="1">
      <c r="A38" s="172" t="s">
        <v>134</v>
      </c>
      <c r="B38" s="173"/>
      <c r="C38" s="77">
        <f t="shared" ref="C38:Z38" si="2">C6+C37</f>
        <v>985</v>
      </c>
      <c r="D38" s="77">
        <f t="shared" si="2"/>
        <v>603</v>
      </c>
      <c r="E38" s="77">
        <f t="shared" si="2"/>
        <v>0</v>
      </c>
      <c r="F38" s="77">
        <f t="shared" si="2"/>
        <v>0</v>
      </c>
      <c r="G38" s="77">
        <f t="shared" si="2"/>
        <v>0</v>
      </c>
      <c r="H38" s="77">
        <f t="shared" si="2"/>
        <v>0</v>
      </c>
      <c r="I38" s="77">
        <f t="shared" si="2"/>
        <v>0</v>
      </c>
      <c r="J38" s="77">
        <f t="shared" si="2"/>
        <v>0</v>
      </c>
      <c r="K38" s="77">
        <f t="shared" si="2"/>
        <v>0</v>
      </c>
      <c r="L38" s="77">
        <f t="shared" si="2"/>
        <v>0</v>
      </c>
      <c r="M38" s="77">
        <f t="shared" si="2"/>
        <v>0</v>
      </c>
      <c r="N38" s="77">
        <f t="shared" si="2"/>
        <v>0</v>
      </c>
      <c r="O38" s="77">
        <f t="shared" si="2"/>
        <v>0</v>
      </c>
      <c r="P38" s="77">
        <f t="shared" si="2"/>
        <v>0</v>
      </c>
      <c r="Q38" s="77">
        <f t="shared" si="2"/>
        <v>0</v>
      </c>
      <c r="R38" s="77">
        <f t="shared" si="2"/>
        <v>0</v>
      </c>
      <c r="S38" s="77">
        <f t="shared" si="2"/>
        <v>0</v>
      </c>
      <c r="T38" s="77">
        <f t="shared" si="2"/>
        <v>0</v>
      </c>
      <c r="U38" s="77">
        <f t="shared" si="2"/>
        <v>0</v>
      </c>
      <c r="V38" s="77">
        <f t="shared" si="2"/>
        <v>0</v>
      </c>
      <c r="W38" s="77">
        <f t="shared" si="2"/>
        <v>0</v>
      </c>
      <c r="X38" s="77">
        <f t="shared" si="2"/>
        <v>0</v>
      </c>
      <c r="Y38" s="77">
        <f t="shared" si="2"/>
        <v>0</v>
      </c>
      <c r="Z38" s="78">
        <f t="shared" si="2"/>
        <v>1322</v>
      </c>
    </row>
    <row r="39" spans="1:26" ht="13.5" customHeight="1">
      <c r="A39" s="79"/>
      <c r="B39" s="80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2"/>
    </row>
    <row r="40" spans="1:26" ht="13.5" customHeight="1">
      <c r="A40" s="170" t="s">
        <v>135</v>
      </c>
      <c r="B40" s="83" t="s">
        <v>136</v>
      </c>
      <c r="C40" s="84">
        <v>600</v>
      </c>
      <c r="D40" s="84">
        <v>600</v>
      </c>
      <c r="E40" s="84">
        <v>600</v>
      </c>
      <c r="F40" s="84">
        <v>600</v>
      </c>
      <c r="G40" s="84">
        <v>600</v>
      </c>
      <c r="H40" s="84">
        <v>600</v>
      </c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66">
        <f>SUM(C40:Y40)</f>
        <v>3600</v>
      </c>
    </row>
    <row r="41" spans="1:26" ht="13.5" customHeight="1">
      <c r="A41" s="174"/>
      <c r="B41" s="98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76">
        <f>SUM(D41:Y41)</f>
        <v>0</v>
      </c>
    </row>
    <row r="42" spans="1:26" ht="13.5" customHeight="1">
      <c r="A42" s="174"/>
      <c r="B42" s="169" t="s">
        <v>130</v>
      </c>
      <c r="C42" s="74" t="s">
        <v>137</v>
      </c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68"/>
    </row>
    <row r="43" spans="1:26" ht="13.5" customHeight="1">
      <c r="A43" s="174"/>
      <c r="B43" s="88"/>
      <c r="C43" s="67">
        <v>44</v>
      </c>
      <c r="D43" s="67"/>
      <c r="E43" s="67"/>
      <c r="F43" s="67"/>
      <c r="G43" s="67"/>
      <c r="H43" s="67"/>
      <c r="I43" s="67"/>
      <c r="J43" s="67"/>
      <c r="K43" s="86"/>
      <c r="L43" s="67"/>
      <c r="M43" s="67"/>
      <c r="N43" s="67"/>
      <c r="O43" s="67"/>
      <c r="P43" s="67"/>
      <c r="Q43" s="67"/>
      <c r="R43" s="67"/>
      <c r="S43" s="65"/>
      <c r="T43" s="67"/>
      <c r="U43" s="67"/>
      <c r="V43" s="67"/>
      <c r="W43" s="67"/>
      <c r="X43" s="67"/>
      <c r="Y43" s="67"/>
      <c r="Z43" s="76"/>
    </row>
    <row r="44" spans="1:26" ht="13.5" customHeight="1">
      <c r="A44" s="174"/>
      <c r="B44" s="88"/>
      <c r="C44" s="67" t="s">
        <v>138</v>
      </c>
      <c r="D44" s="65"/>
      <c r="E44" s="67"/>
      <c r="F44" s="67"/>
      <c r="G44" s="67"/>
      <c r="H44" s="65"/>
      <c r="I44" s="67"/>
      <c r="J44" s="89"/>
      <c r="K44" s="90"/>
      <c r="L44" s="91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76"/>
    </row>
    <row r="45" spans="1:26" ht="13.5" customHeight="1">
      <c r="A45" s="174"/>
      <c r="B45" s="88"/>
      <c r="C45" s="67">
        <v>41</v>
      </c>
      <c r="D45" s="67"/>
      <c r="E45" s="67"/>
      <c r="F45" s="67"/>
      <c r="G45" s="67"/>
      <c r="H45" s="67"/>
      <c r="I45" s="67"/>
      <c r="J45" s="67"/>
      <c r="K45" s="86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76"/>
    </row>
    <row r="46" spans="1:26" ht="13.5" customHeight="1">
      <c r="A46" s="174"/>
      <c r="B46" s="88"/>
      <c r="C46" s="67" t="s">
        <v>139</v>
      </c>
      <c r="D46" s="67"/>
      <c r="E46" s="67"/>
      <c r="F46" s="67"/>
      <c r="G46" s="67"/>
      <c r="H46" s="67"/>
      <c r="I46" s="74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76"/>
    </row>
    <row r="47" spans="1:26" ht="13.5" customHeight="1">
      <c r="A47" s="174"/>
      <c r="B47" s="88"/>
      <c r="C47" s="67">
        <v>12</v>
      </c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76"/>
    </row>
    <row r="48" spans="1:26" ht="13.5" customHeight="1">
      <c r="A48" s="174"/>
      <c r="B48" s="88"/>
      <c r="C48" s="67" t="s">
        <v>140</v>
      </c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76"/>
    </row>
    <row r="49" spans="1:26" ht="13.5" customHeight="1">
      <c r="A49" s="174"/>
      <c r="B49" s="88"/>
      <c r="C49" s="67">
        <v>92</v>
      </c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76"/>
    </row>
    <row r="50" spans="1:26" ht="13.5" customHeight="1">
      <c r="A50" s="174"/>
      <c r="B50" s="88"/>
      <c r="C50" s="67"/>
      <c r="D50" s="67" t="s">
        <v>193</v>
      </c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76"/>
    </row>
    <row r="51" spans="1:26" ht="13.5" customHeight="1">
      <c r="A51" s="174"/>
      <c r="B51" s="88"/>
      <c r="C51" s="67"/>
      <c r="D51" s="67">
        <v>65</v>
      </c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76"/>
    </row>
    <row r="52" spans="1:26" ht="13.5" customHeight="1">
      <c r="A52" s="174"/>
      <c r="B52" s="88"/>
      <c r="C52" s="67"/>
      <c r="D52" s="67" t="s">
        <v>194</v>
      </c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76"/>
    </row>
    <row r="53" spans="1:26" ht="13.5" customHeight="1">
      <c r="A53" s="174"/>
      <c r="B53" s="88"/>
      <c r="C53" s="67"/>
      <c r="D53" s="67">
        <v>24</v>
      </c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76"/>
    </row>
    <row r="54" spans="1:26" ht="13.5" customHeight="1">
      <c r="A54" s="174"/>
      <c r="B54" s="88"/>
      <c r="C54" s="67"/>
      <c r="D54" s="67" t="s">
        <v>195</v>
      </c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76"/>
    </row>
    <row r="55" spans="1:26" ht="13.5" customHeight="1">
      <c r="A55" s="174"/>
      <c r="B55" s="88"/>
      <c r="C55" s="67"/>
      <c r="D55" s="67">
        <v>50</v>
      </c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76"/>
    </row>
    <row r="56" spans="1:26" ht="13.5" customHeight="1">
      <c r="A56" s="174"/>
      <c r="B56" s="88"/>
      <c r="C56" s="67"/>
      <c r="D56" s="67" t="s">
        <v>196</v>
      </c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76"/>
    </row>
    <row r="57" spans="1:26" ht="13.5" customHeight="1">
      <c r="A57" s="174"/>
      <c r="B57" s="88"/>
      <c r="C57" s="67"/>
      <c r="D57" s="67">
        <v>198</v>
      </c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Z57" s="76"/>
    </row>
    <row r="58" spans="1:26" ht="13.5" customHeight="1">
      <c r="A58" s="174"/>
      <c r="B58" s="92"/>
      <c r="C58" s="86"/>
      <c r="D58" s="93" t="s">
        <v>197</v>
      </c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Z58" s="87"/>
    </row>
    <row r="59" spans="1:26" ht="13.5" customHeight="1">
      <c r="A59" s="174"/>
      <c r="B59" s="92"/>
      <c r="C59" s="86"/>
      <c r="D59" s="168">
        <v>61</v>
      </c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Z59" s="87"/>
    </row>
    <row r="60" spans="1:26" ht="13.5" customHeight="1">
      <c r="A60" s="174"/>
      <c r="B60" s="92"/>
      <c r="C60" s="86"/>
      <c r="D60" s="93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Z60" s="87"/>
    </row>
    <row r="61" spans="1:26" ht="13.5" customHeight="1">
      <c r="A61" s="174"/>
      <c r="B61" s="92"/>
      <c r="C61" s="86"/>
      <c r="D61" s="93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Z61" s="87"/>
    </row>
    <row r="62" spans="1:26" ht="13.5" customHeight="1">
      <c r="A62" s="174"/>
      <c r="B62" s="92"/>
      <c r="C62" s="86"/>
      <c r="D62" s="93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Z62" s="87"/>
    </row>
    <row r="63" spans="1:26" ht="13.5" customHeight="1">
      <c r="A63" s="174"/>
      <c r="B63" s="92"/>
      <c r="C63" s="86"/>
      <c r="D63" s="93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Z63" s="87"/>
    </row>
    <row r="64" spans="1:26" ht="13.5" customHeight="1">
      <c r="A64" s="174"/>
      <c r="B64" s="92"/>
      <c r="C64" s="86"/>
      <c r="D64" s="93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Z64" s="87"/>
    </row>
    <row r="65" spans="1:26" ht="13.5" customHeight="1">
      <c r="A65" s="174"/>
      <c r="B65" s="92"/>
      <c r="C65" s="86"/>
      <c r="D65" s="93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Z65" s="87"/>
    </row>
    <row r="66" spans="1:26" ht="13.5" customHeight="1">
      <c r="A66" s="174"/>
      <c r="B66" s="92"/>
      <c r="C66" s="86"/>
      <c r="D66" s="93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Z66" s="87"/>
    </row>
    <row r="67" spans="1:26" ht="13.5" customHeight="1">
      <c r="A67" s="174"/>
      <c r="B67" s="92"/>
      <c r="C67" s="86"/>
      <c r="D67" s="93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Z67" s="87"/>
    </row>
    <row r="68" spans="1:26" ht="13.5" customHeight="1">
      <c r="A68" s="174"/>
      <c r="B68" s="92"/>
      <c r="C68" s="86"/>
      <c r="D68" s="93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Z68" s="87"/>
    </row>
    <row r="69" spans="1:26" ht="13.5" customHeight="1">
      <c r="A69" s="174"/>
      <c r="B69" s="92"/>
      <c r="C69" s="86"/>
      <c r="D69" s="93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Z69" s="87"/>
    </row>
    <row r="70" spans="1:26" ht="13.5" customHeight="1">
      <c r="A70" s="174"/>
      <c r="B70" s="92"/>
      <c r="C70" s="86"/>
      <c r="D70" s="93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94"/>
      <c r="Z70" s="87"/>
    </row>
    <row r="71" spans="1:26" ht="13.5" customHeight="1">
      <c r="A71" s="174"/>
      <c r="B71" s="95"/>
      <c r="C71" s="69"/>
      <c r="D71" s="96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7"/>
      <c r="Z71" s="70"/>
    </row>
    <row r="72" spans="1:26" ht="13.5" customHeight="1" thickTop="1">
      <c r="A72" s="174"/>
      <c r="B72" s="97" t="s">
        <v>115</v>
      </c>
      <c r="C72" s="72">
        <f t="shared" ref="C72:Y72" si="3">SUM(C42:C71)</f>
        <v>189</v>
      </c>
      <c r="D72" s="72">
        <f t="shared" si="3"/>
        <v>398</v>
      </c>
      <c r="E72" s="72">
        <f t="shared" si="3"/>
        <v>0</v>
      </c>
      <c r="F72" s="72">
        <f t="shared" si="3"/>
        <v>0</v>
      </c>
      <c r="G72" s="72">
        <f t="shared" si="3"/>
        <v>0</v>
      </c>
      <c r="H72" s="72">
        <f t="shared" si="3"/>
        <v>0</v>
      </c>
      <c r="I72" s="72">
        <f t="shared" si="3"/>
        <v>0</v>
      </c>
      <c r="J72" s="72">
        <f t="shared" si="3"/>
        <v>0</v>
      </c>
      <c r="K72" s="72">
        <f t="shared" si="3"/>
        <v>0</v>
      </c>
      <c r="L72" s="72">
        <f t="shared" si="3"/>
        <v>0</v>
      </c>
      <c r="M72" s="72">
        <f t="shared" si="3"/>
        <v>0</v>
      </c>
      <c r="N72" s="72">
        <f t="shared" si="3"/>
        <v>0</v>
      </c>
      <c r="O72" s="72">
        <f t="shared" si="3"/>
        <v>0</v>
      </c>
      <c r="P72" s="72">
        <f t="shared" si="3"/>
        <v>0</v>
      </c>
      <c r="Q72" s="72">
        <f t="shared" si="3"/>
        <v>0</v>
      </c>
      <c r="R72" s="72">
        <f t="shared" si="3"/>
        <v>0</v>
      </c>
      <c r="S72" s="72">
        <f t="shared" si="3"/>
        <v>0</v>
      </c>
      <c r="T72" s="72">
        <f t="shared" si="3"/>
        <v>0</v>
      </c>
      <c r="U72" s="72">
        <f t="shared" si="3"/>
        <v>0</v>
      </c>
      <c r="V72" s="72">
        <f t="shared" si="3"/>
        <v>0</v>
      </c>
      <c r="W72" s="72">
        <f t="shared" si="3"/>
        <v>0</v>
      </c>
      <c r="X72" s="72">
        <f t="shared" si="3"/>
        <v>0</v>
      </c>
      <c r="Y72" s="72">
        <f t="shared" si="3"/>
        <v>0</v>
      </c>
      <c r="Z72" s="73">
        <f>SUM(C72:Y72)</f>
        <v>587</v>
      </c>
    </row>
    <row r="73" spans="1:26" ht="13.5" customHeight="1" thickBot="1">
      <c r="A73" s="175" t="s">
        <v>134</v>
      </c>
      <c r="B73" s="173"/>
      <c r="C73" s="77">
        <f t="shared" ref="C73:Z73" si="4">C40+C41+C72</f>
        <v>789</v>
      </c>
      <c r="D73" s="77">
        <f t="shared" si="4"/>
        <v>998</v>
      </c>
      <c r="E73" s="77">
        <f t="shared" si="4"/>
        <v>600</v>
      </c>
      <c r="F73" s="77">
        <f t="shared" si="4"/>
        <v>600</v>
      </c>
      <c r="G73" s="77">
        <f t="shared" si="4"/>
        <v>600</v>
      </c>
      <c r="H73" s="77">
        <f t="shared" si="4"/>
        <v>600</v>
      </c>
      <c r="I73" s="77">
        <f t="shared" si="4"/>
        <v>0</v>
      </c>
      <c r="J73" s="77">
        <f t="shared" si="4"/>
        <v>0</v>
      </c>
      <c r="K73" s="77">
        <f t="shared" si="4"/>
        <v>0</v>
      </c>
      <c r="L73" s="77">
        <f t="shared" si="4"/>
        <v>0</v>
      </c>
      <c r="M73" s="77">
        <f t="shared" si="4"/>
        <v>0</v>
      </c>
      <c r="N73" s="77">
        <f t="shared" si="4"/>
        <v>0</v>
      </c>
      <c r="O73" s="77">
        <f t="shared" si="4"/>
        <v>0</v>
      </c>
      <c r="P73" s="77">
        <f t="shared" si="4"/>
        <v>0</v>
      </c>
      <c r="Q73" s="77">
        <f t="shared" si="4"/>
        <v>0</v>
      </c>
      <c r="R73" s="77">
        <f t="shared" si="4"/>
        <v>0</v>
      </c>
      <c r="S73" s="77">
        <f t="shared" si="4"/>
        <v>0</v>
      </c>
      <c r="T73" s="77">
        <f t="shared" si="4"/>
        <v>0</v>
      </c>
      <c r="U73" s="77">
        <f t="shared" si="4"/>
        <v>0</v>
      </c>
      <c r="V73" s="77">
        <f t="shared" si="4"/>
        <v>0</v>
      </c>
      <c r="W73" s="77">
        <f t="shared" si="4"/>
        <v>0</v>
      </c>
      <c r="X73" s="77">
        <f t="shared" si="4"/>
        <v>0</v>
      </c>
      <c r="Y73" s="77">
        <f t="shared" si="4"/>
        <v>0</v>
      </c>
      <c r="Z73" s="77">
        <f t="shared" si="4"/>
        <v>4187</v>
      </c>
    </row>
    <row r="74" spans="1:26" ht="18.75" customHeight="1" thickBot="1">
      <c r="A74" s="176" t="s">
        <v>141</v>
      </c>
      <c r="B74" s="177"/>
      <c r="C74" s="99">
        <f>C78+C38-C73</f>
        <v>18226</v>
      </c>
      <c r="D74" s="99">
        <f t="shared" ref="D74:Y74" si="5">(C74+D38)-D73</f>
        <v>17831</v>
      </c>
      <c r="E74" s="99">
        <f t="shared" si="5"/>
        <v>17231</v>
      </c>
      <c r="F74" s="99">
        <f t="shared" si="5"/>
        <v>16631</v>
      </c>
      <c r="G74" s="99">
        <f t="shared" si="5"/>
        <v>16031</v>
      </c>
      <c r="H74" s="99">
        <f t="shared" si="5"/>
        <v>15431</v>
      </c>
      <c r="I74" s="99">
        <f t="shared" si="5"/>
        <v>15431</v>
      </c>
      <c r="J74" s="99">
        <f t="shared" si="5"/>
        <v>15431</v>
      </c>
      <c r="K74" s="99">
        <f t="shared" si="5"/>
        <v>15431</v>
      </c>
      <c r="L74" s="99">
        <f t="shared" si="5"/>
        <v>15431</v>
      </c>
      <c r="M74" s="99">
        <f t="shared" si="5"/>
        <v>15431</v>
      </c>
      <c r="N74" s="99">
        <f t="shared" si="5"/>
        <v>15431</v>
      </c>
      <c r="O74" s="99">
        <f t="shared" si="5"/>
        <v>15431</v>
      </c>
      <c r="P74" s="99">
        <f t="shared" si="5"/>
        <v>15431</v>
      </c>
      <c r="Q74" s="99">
        <f t="shared" si="5"/>
        <v>15431</v>
      </c>
      <c r="R74" s="99">
        <f t="shared" si="5"/>
        <v>15431</v>
      </c>
      <c r="S74" s="99">
        <f t="shared" si="5"/>
        <v>15431</v>
      </c>
      <c r="T74" s="99">
        <f t="shared" si="5"/>
        <v>15431</v>
      </c>
      <c r="U74" s="99">
        <f t="shared" si="5"/>
        <v>15431</v>
      </c>
      <c r="V74" s="99">
        <f t="shared" si="5"/>
        <v>15431</v>
      </c>
      <c r="W74" s="99">
        <f t="shared" si="5"/>
        <v>15431</v>
      </c>
      <c r="X74" s="99">
        <f t="shared" si="5"/>
        <v>15431</v>
      </c>
      <c r="Y74" s="99">
        <f t="shared" si="5"/>
        <v>15431</v>
      </c>
      <c r="Z74" s="99">
        <f>C78+Z38-Z73</f>
        <v>15165</v>
      </c>
    </row>
    <row r="75" spans="1:26" ht="13.5" hidden="1" customHeight="1">
      <c r="A75" s="1" t="s">
        <v>142</v>
      </c>
    </row>
    <row r="76" spans="1:26" ht="13.5" hidden="1" customHeight="1">
      <c r="B76" s="1" t="s">
        <v>143</v>
      </c>
      <c r="C76" s="1">
        <v>500</v>
      </c>
    </row>
    <row r="77" spans="1:26" ht="13.5" hidden="1" customHeight="1">
      <c r="B77" s="1" t="s">
        <v>144</v>
      </c>
      <c r="C77" s="94">
        <f t="shared" ref="C77:Y77" si="6">SUM(C74+C76)</f>
        <v>18726</v>
      </c>
      <c r="D77" s="94">
        <f t="shared" si="6"/>
        <v>17831</v>
      </c>
      <c r="E77" s="94">
        <f t="shared" si="6"/>
        <v>17231</v>
      </c>
      <c r="F77" s="94">
        <f t="shared" si="6"/>
        <v>16631</v>
      </c>
      <c r="G77" s="94">
        <f t="shared" si="6"/>
        <v>16031</v>
      </c>
      <c r="H77" s="94">
        <f t="shared" si="6"/>
        <v>15431</v>
      </c>
      <c r="I77" s="94">
        <f t="shared" si="6"/>
        <v>15431</v>
      </c>
      <c r="J77" s="94">
        <f t="shared" si="6"/>
        <v>15431</v>
      </c>
      <c r="K77" s="94">
        <f t="shared" si="6"/>
        <v>15431</v>
      </c>
      <c r="L77" s="94">
        <f t="shared" si="6"/>
        <v>15431</v>
      </c>
      <c r="M77" s="94">
        <f t="shared" si="6"/>
        <v>15431</v>
      </c>
      <c r="N77" s="94">
        <f t="shared" si="6"/>
        <v>15431</v>
      </c>
      <c r="O77" s="94">
        <f t="shared" si="6"/>
        <v>15431</v>
      </c>
      <c r="P77" s="94">
        <f t="shared" si="6"/>
        <v>15431</v>
      </c>
      <c r="Q77" s="94">
        <f t="shared" si="6"/>
        <v>15431</v>
      </c>
      <c r="R77" s="94">
        <f t="shared" si="6"/>
        <v>15431</v>
      </c>
      <c r="S77" s="94">
        <f t="shared" si="6"/>
        <v>15431</v>
      </c>
      <c r="T77" s="94">
        <f t="shared" si="6"/>
        <v>15431</v>
      </c>
      <c r="U77" s="94">
        <f t="shared" si="6"/>
        <v>15431</v>
      </c>
      <c r="V77" s="94">
        <f t="shared" si="6"/>
        <v>15431</v>
      </c>
      <c r="W77" s="94">
        <f t="shared" si="6"/>
        <v>15431</v>
      </c>
      <c r="X77" s="94">
        <f t="shared" si="6"/>
        <v>15431</v>
      </c>
      <c r="Y77" s="94">
        <f t="shared" si="6"/>
        <v>15431</v>
      </c>
      <c r="Z77" s="94" t="e">
        <f>SUM(#REF!+Z76)</f>
        <v>#REF!</v>
      </c>
    </row>
    <row r="78" spans="1:26" ht="23.25" customHeight="1">
      <c r="B78" s="100" t="s">
        <v>145</v>
      </c>
      <c r="C78" s="94">
        <v>18030</v>
      </c>
    </row>
    <row r="79" spans="1:26" ht="15.75" customHeight="1">
      <c r="Z79" s="101" t="s">
        <v>146</v>
      </c>
    </row>
    <row r="80" spans="1:26" ht="28.5" customHeight="1">
      <c r="Z80" s="101"/>
    </row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</sheetData>
  <mergeCells count="5">
    <mergeCell ref="A6:A37"/>
    <mergeCell ref="A38:B38"/>
    <mergeCell ref="A40:A72"/>
    <mergeCell ref="A73:B73"/>
    <mergeCell ref="A74:B74"/>
  </mergeCells>
  <pageMargins left="0.23622047244094491" right="0.23622047244094491" top="0.74803149606299213" bottom="0.74803149606299213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4.5546875" customWidth="1"/>
    <col min="2" max="2" width="9" customWidth="1"/>
    <col min="3" max="3" width="3.33203125" customWidth="1"/>
    <col min="4" max="4" width="9" customWidth="1"/>
    <col min="5" max="5" width="7" customWidth="1"/>
    <col min="6" max="6" width="20.44140625" customWidth="1"/>
    <col min="7" max="7" width="11.109375" customWidth="1"/>
    <col min="8" max="8" width="13.88671875" customWidth="1"/>
    <col min="9" max="9" width="5.6640625" customWidth="1"/>
    <col min="10" max="26" width="8.6640625" customWidth="1"/>
  </cols>
  <sheetData>
    <row r="1" spans="1:26" ht="30" customHeight="1">
      <c r="B1" s="102" t="s">
        <v>147</v>
      </c>
      <c r="C1" s="103"/>
      <c r="D1" s="104"/>
      <c r="E1" s="100"/>
    </row>
    <row r="2" spans="1:26" ht="15.75" customHeight="1">
      <c r="B2" s="102" t="s">
        <v>148</v>
      </c>
      <c r="C2" s="103"/>
      <c r="D2" s="104"/>
      <c r="E2" s="100"/>
    </row>
    <row r="3" spans="1:26" ht="14.25" customHeight="1">
      <c r="B3" s="102"/>
      <c r="C3" s="103"/>
      <c r="D3" s="104"/>
      <c r="E3" s="100"/>
    </row>
    <row r="4" spans="1:26" ht="15.75" customHeight="1">
      <c r="B4" s="102"/>
      <c r="C4" s="103"/>
      <c r="D4" s="104"/>
      <c r="E4" s="100"/>
    </row>
    <row r="5" spans="1:26" ht="15.75" customHeight="1">
      <c r="B5" s="102"/>
      <c r="C5" s="103"/>
      <c r="D5" s="104"/>
      <c r="E5" s="100"/>
    </row>
    <row r="6" spans="1:26" ht="18" customHeight="1">
      <c r="A6" s="58" t="s">
        <v>149</v>
      </c>
      <c r="B6" s="105" t="s">
        <v>150</v>
      </c>
      <c r="C6" s="201" t="s">
        <v>122</v>
      </c>
      <c r="D6" s="177"/>
      <c r="E6" s="58" t="s">
        <v>151</v>
      </c>
      <c r="F6" s="58" t="s">
        <v>130</v>
      </c>
      <c r="G6" s="58" t="s">
        <v>115</v>
      </c>
      <c r="H6" s="106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 spans="1:26" ht="15" customHeight="1">
      <c r="A7" s="197"/>
      <c r="B7" s="194"/>
      <c r="C7" s="108"/>
      <c r="D7" s="109"/>
      <c r="E7" s="191">
        <v>200</v>
      </c>
      <c r="F7" s="197"/>
      <c r="G7" s="197"/>
      <c r="H7" s="198"/>
    </row>
    <row r="8" spans="1:26" ht="15" customHeight="1">
      <c r="A8" s="192"/>
      <c r="B8" s="195"/>
      <c r="C8" s="108"/>
      <c r="D8" s="109"/>
      <c r="E8" s="192"/>
      <c r="F8" s="192"/>
      <c r="G8" s="192"/>
      <c r="H8" s="199"/>
    </row>
    <row r="9" spans="1:26" ht="15" customHeight="1">
      <c r="A9" s="197"/>
      <c r="B9" s="194"/>
      <c r="C9" s="108"/>
      <c r="D9" s="109"/>
      <c r="E9" s="191">
        <v>200</v>
      </c>
      <c r="F9" s="197"/>
      <c r="G9" s="197"/>
      <c r="H9" s="198"/>
    </row>
    <row r="10" spans="1:26" ht="15" customHeight="1">
      <c r="A10" s="192"/>
      <c r="B10" s="195"/>
      <c r="C10" s="108"/>
      <c r="D10" s="109"/>
      <c r="E10" s="192"/>
      <c r="F10" s="192"/>
      <c r="G10" s="192"/>
      <c r="H10" s="199"/>
    </row>
    <row r="11" spans="1:26" ht="15" customHeight="1">
      <c r="A11" s="197"/>
      <c r="B11" s="196"/>
      <c r="C11" s="108"/>
      <c r="D11" s="109"/>
      <c r="E11" s="191">
        <v>200</v>
      </c>
      <c r="F11" s="197"/>
      <c r="G11" s="197"/>
      <c r="H11" s="198"/>
    </row>
    <row r="12" spans="1:26" ht="15" customHeight="1">
      <c r="A12" s="192"/>
      <c r="B12" s="192"/>
      <c r="C12" s="108"/>
      <c r="D12" s="111"/>
      <c r="E12" s="192"/>
      <c r="F12" s="192"/>
      <c r="G12" s="192"/>
      <c r="H12" s="199"/>
    </row>
    <row r="13" spans="1:26" ht="15" customHeight="1">
      <c r="A13" s="197"/>
      <c r="B13" s="194"/>
      <c r="C13" s="108"/>
      <c r="D13" s="109"/>
      <c r="E13" s="191">
        <v>200</v>
      </c>
      <c r="F13" s="197"/>
      <c r="G13" s="197"/>
      <c r="H13" s="198"/>
    </row>
    <row r="14" spans="1:26" ht="15" customHeight="1">
      <c r="A14" s="192"/>
      <c r="B14" s="195"/>
      <c r="C14" s="108"/>
      <c r="D14" s="109"/>
      <c r="E14" s="192"/>
      <c r="F14" s="192"/>
      <c r="G14" s="192"/>
      <c r="H14" s="199"/>
    </row>
    <row r="15" spans="1:26" ht="15" customHeight="1">
      <c r="A15" s="197"/>
      <c r="B15" s="196"/>
      <c r="C15" s="112"/>
      <c r="D15" s="113"/>
      <c r="E15" s="191">
        <v>200</v>
      </c>
      <c r="F15" s="197"/>
      <c r="G15" s="197"/>
      <c r="H15" s="198"/>
    </row>
    <row r="16" spans="1:26" ht="15" customHeight="1">
      <c r="A16" s="192"/>
      <c r="B16" s="192"/>
      <c r="C16" s="114"/>
      <c r="D16" s="109"/>
      <c r="E16" s="192"/>
      <c r="F16" s="192"/>
      <c r="G16" s="192"/>
      <c r="H16" s="199"/>
    </row>
    <row r="17" spans="1:10" ht="15" customHeight="1">
      <c r="A17" s="197"/>
      <c r="B17" s="194"/>
      <c r="C17" s="112"/>
      <c r="D17" s="113"/>
      <c r="E17" s="191">
        <v>200</v>
      </c>
      <c r="F17" s="197"/>
      <c r="G17" s="197"/>
      <c r="H17" s="198"/>
    </row>
    <row r="18" spans="1:10" ht="15" customHeight="1">
      <c r="A18" s="192"/>
      <c r="B18" s="195"/>
      <c r="C18" s="114"/>
      <c r="D18" s="109"/>
      <c r="E18" s="192"/>
      <c r="F18" s="192"/>
      <c r="G18" s="192"/>
      <c r="H18" s="199"/>
    </row>
    <row r="19" spans="1:10" ht="15" customHeight="1">
      <c r="A19" s="197"/>
      <c r="B19" s="194"/>
      <c r="C19" s="108"/>
      <c r="D19" s="109"/>
      <c r="E19" s="191">
        <v>200</v>
      </c>
      <c r="F19" s="197"/>
      <c r="G19" s="197"/>
      <c r="H19" s="198"/>
    </row>
    <row r="20" spans="1:10" ht="15" customHeight="1">
      <c r="A20" s="192"/>
      <c r="B20" s="195"/>
      <c r="C20" s="108"/>
      <c r="D20" s="109"/>
      <c r="E20" s="192"/>
      <c r="F20" s="192"/>
      <c r="G20" s="192"/>
      <c r="H20" s="199"/>
    </row>
    <row r="21" spans="1:10" ht="15" customHeight="1">
      <c r="A21" s="197"/>
      <c r="B21" s="194"/>
      <c r="C21" s="108"/>
      <c r="D21" s="109"/>
      <c r="E21" s="191">
        <v>200</v>
      </c>
      <c r="F21" s="197"/>
      <c r="G21" s="197"/>
      <c r="H21" s="198"/>
    </row>
    <row r="22" spans="1:10" ht="15" customHeight="1">
      <c r="A22" s="192"/>
      <c r="B22" s="195"/>
      <c r="C22" s="108"/>
      <c r="D22" s="109"/>
      <c r="E22" s="192"/>
      <c r="F22" s="192"/>
      <c r="G22" s="192"/>
      <c r="H22" s="199"/>
    </row>
    <row r="23" spans="1:10" ht="15" customHeight="1">
      <c r="A23" s="197"/>
      <c r="B23" s="196"/>
      <c r="C23" s="112"/>
      <c r="D23" s="113"/>
      <c r="E23" s="191">
        <v>200</v>
      </c>
      <c r="F23" s="197"/>
      <c r="G23" s="197"/>
      <c r="H23" s="198"/>
    </row>
    <row r="24" spans="1:10" ht="15" customHeight="1">
      <c r="A24" s="193"/>
      <c r="B24" s="193"/>
      <c r="C24" s="115"/>
      <c r="D24" s="116"/>
      <c r="E24" s="193"/>
      <c r="F24" s="193"/>
      <c r="G24" s="193"/>
      <c r="H24" s="200"/>
    </row>
    <row r="25" spans="1:10" ht="18.75" customHeight="1">
      <c r="A25" s="117"/>
      <c r="B25" s="118" t="s">
        <v>115</v>
      </c>
      <c r="C25" s="119"/>
      <c r="D25" s="120"/>
      <c r="E25" s="121"/>
      <c r="F25" s="117"/>
      <c r="G25" s="117"/>
      <c r="H25" s="122"/>
    </row>
    <row r="26" spans="1:10" ht="9" customHeight="1">
      <c r="B26" s="102"/>
      <c r="D26" s="123"/>
      <c r="E26" s="100"/>
    </row>
    <row r="27" spans="1:10" ht="13.5" customHeight="1">
      <c r="B27" s="124" t="s">
        <v>136</v>
      </c>
      <c r="C27" s="125" t="s">
        <v>152</v>
      </c>
      <c r="D27" s="126">
        <v>600</v>
      </c>
      <c r="E27" s="127"/>
      <c r="F27" s="125" t="s">
        <v>153</v>
      </c>
    </row>
    <row r="28" spans="1:10" ht="13.5" customHeight="1">
      <c r="B28" s="102"/>
      <c r="C28" s="128"/>
      <c r="D28" s="123"/>
      <c r="E28" s="100"/>
      <c r="F28" s="128"/>
    </row>
    <row r="29" spans="1:10" ht="13.5" customHeight="1">
      <c r="A29" s="129"/>
      <c r="B29" s="130"/>
      <c r="C29" s="129"/>
      <c r="D29" s="131"/>
      <c r="E29" s="132"/>
      <c r="F29" s="129"/>
      <c r="G29" s="129"/>
      <c r="H29" s="129"/>
      <c r="I29" s="129"/>
      <c r="J29" s="129"/>
    </row>
    <row r="30" spans="1:10" ht="14.25" customHeight="1">
      <c r="B30" s="102"/>
      <c r="C30" s="128"/>
      <c r="D30" s="123"/>
      <c r="E30" s="100"/>
      <c r="F30" s="128"/>
    </row>
    <row r="31" spans="1:10" ht="30" customHeight="1">
      <c r="B31" s="102" t="s">
        <v>147</v>
      </c>
      <c r="C31" s="103"/>
      <c r="D31" s="104"/>
      <c r="E31" s="100"/>
    </row>
    <row r="32" spans="1:10" ht="15.75" customHeight="1">
      <c r="B32" s="102" t="s">
        <v>148</v>
      </c>
      <c r="C32" s="103"/>
      <c r="D32" s="104"/>
      <c r="E32" s="100"/>
    </row>
    <row r="33" spans="1:26" ht="14.25" customHeight="1">
      <c r="B33" s="102"/>
      <c r="C33" s="103"/>
      <c r="D33" s="104"/>
      <c r="E33" s="100"/>
    </row>
    <row r="34" spans="1:26" ht="15.75" customHeight="1">
      <c r="B34" s="102"/>
      <c r="C34" s="103"/>
      <c r="D34" s="104"/>
      <c r="E34" s="100"/>
    </row>
    <row r="35" spans="1:26" ht="15.75" customHeight="1">
      <c r="B35" s="102"/>
      <c r="C35" s="103"/>
      <c r="D35" s="104"/>
      <c r="E35" s="100"/>
    </row>
    <row r="36" spans="1:26" ht="18" customHeight="1">
      <c r="A36" s="58" t="s">
        <v>149</v>
      </c>
      <c r="B36" s="105" t="s">
        <v>150</v>
      </c>
      <c r="C36" s="105"/>
      <c r="D36" s="133" t="s">
        <v>122</v>
      </c>
      <c r="E36" s="58" t="s">
        <v>151</v>
      </c>
      <c r="F36" s="58" t="s">
        <v>130</v>
      </c>
      <c r="G36" s="58" t="s">
        <v>115</v>
      </c>
      <c r="H36" s="106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 spans="1:26" ht="15" customHeight="1">
      <c r="A37" s="197"/>
      <c r="B37" s="194"/>
      <c r="C37" s="108"/>
      <c r="D37" s="109"/>
      <c r="E37" s="191">
        <v>200</v>
      </c>
      <c r="F37" s="197"/>
      <c r="G37" s="197"/>
      <c r="H37" s="198"/>
    </row>
    <row r="38" spans="1:26" ht="15" customHeight="1">
      <c r="A38" s="192"/>
      <c r="B38" s="195"/>
      <c r="C38" s="108"/>
      <c r="D38" s="109"/>
      <c r="E38" s="192"/>
      <c r="F38" s="192"/>
      <c r="G38" s="192"/>
      <c r="H38" s="199"/>
    </row>
    <row r="39" spans="1:26" ht="15" customHeight="1">
      <c r="A39" s="197"/>
      <c r="B39" s="194"/>
      <c r="C39" s="108"/>
      <c r="D39" s="109"/>
      <c r="E39" s="191">
        <v>200</v>
      </c>
      <c r="F39" s="197"/>
      <c r="G39" s="197"/>
      <c r="H39" s="198"/>
    </row>
    <row r="40" spans="1:26" ht="15" customHeight="1">
      <c r="A40" s="192"/>
      <c r="B40" s="195"/>
      <c r="C40" s="108"/>
      <c r="D40" s="109"/>
      <c r="E40" s="192"/>
      <c r="F40" s="192"/>
      <c r="G40" s="192"/>
      <c r="H40" s="199"/>
    </row>
    <row r="41" spans="1:26" ht="15" customHeight="1">
      <c r="A41" s="197"/>
      <c r="B41" s="196"/>
      <c r="C41" s="108"/>
      <c r="D41" s="109"/>
      <c r="E41" s="191">
        <v>200</v>
      </c>
      <c r="F41" s="197"/>
      <c r="G41" s="197"/>
      <c r="H41" s="198"/>
    </row>
    <row r="42" spans="1:26" ht="15" customHeight="1">
      <c r="A42" s="192"/>
      <c r="B42" s="192"/>
      <c r="C42" s="108"/>
      <c r="D42" s="111"/>
      <c r="E42" s="192"/>
      <c r="F42" s="192"/>
      <c r="G42" s="192"/>
      <c r="H42" s="199"/>
    </row>
    <row r="43" spans="1:26" ht="15" customHeight="1">
      <c r="A43" s="197"/>
      <c r="B43" s="194"/>
      <c r="C43" s="108"/>
      <c r="D43" s="109"/>
      <c r="E43" s="191">
        <v>200</v>
      </c>
      <c r="F43" s="197"/>
      <c r="G43" s="197"/>
      <c r="H43" s="198"/>
    </row>
    <row r="44" spans="1:26" ht="15" customHeight="1">
      <c r="A44" s="192"/>
      <c r="B44" s="195"/>
      <c r="C44" s="108"/>
      <c r="D44" s="109"/>
      <c r="E44" s="192"/>
      <c r="F44" s="192"/>
      <c r="G44" s="192"/>
      <c r="H44" s="199"/>
    </row>
    <row r="45" spans="1:26" ht="15" customHeight="1">
      <c r="A45" s="197"/>
      <c r="B45" s="196"/>
      <c r="C45" s="112"/>
      <c r="D45" s="113"/>
      <c r="E45" s="191">
        <v>200</v>
      </c>
      <c r="F45" s="197"/>
      <c r="G45" s="197"/>
      <c r="H45" s="198"/>
    </row>
    <row r="46" spans="1:26" ht="15" customHeight="1">
      <c r="A46" s="192"/>
      <c r="B46" s="192"/>
      <c r="C46" s="114"/>
      <c r="D46" s="109"/>
      <c r="E46" s="192"/>
      <c r="F46" s="192"/>
      <c r="G46" s="192"/>
      <c r="H46" s="199"/>
    </row>
    <row r="47" spans="1:26" ht="15" customHeight="1">
      <c r="A47" s="197"/>
      <c r="B47" s="194"/>
      <c r="C47" s="112"/>
      <c r="D47" s="113"/>
      <c r="E47" s="191">
        <v>200</v>
      </c>
      <c r="F47" s="197"/>
      <c r="G47" s="197"/>
      <c r="H47" s="198"/>
    </row>
    <row r="48" spans="1:26" ht="15" customHeight="1">
      <c r="A48" s="192"/>
      <c r="B48" s="195"/>
      <c r="C48" s="114"/>
      <c r="D48" s="109"/>
      <c r="E48" s="192"/>
      <c r="F48" s="192"/>
      <c r="G48" s="192"/>
      <c r="H48" s="199"/>
    </row>
    <row r="49" spans="1:8" ht="15" customHeight="1">
      <c r="A49" s="197"/>
      <c r="B49" s="194"/>
      <c r="C49" s="108"/>
      <c r="D49" s="109"/>
      <c r="E49" s="191">
        <v>200</v>
      </c>
      <c r="F49" s="197"/>
      <c r="G49" s="197"/>
      <c r="H49" s="198"/>
    </row>
    <row r="50" spans="1:8" ht="15" customHeight="1">
      <c r="A50" s="192"/>
      <c r="B50" s="195"/>
      <c r="C50" s="108"/>
      <c r="D50" s="109"/>
      <c r="E50" s="192"/>
      <c r="F50" s="192"/>
      <c r="G50" s="192"/>
      <c r="H50" s="199"/>
    </row>
    <row r="51" spans="1:8" ht="15" customHeight="1">
      <c r="A51" s="197"/>
      <c r="B51" s="194"/>
      <c r="C51" s="108"/>
      <c r="D51" s="109"/>
      <c r="E51" s="191">
        <v>200</v>
      </c>
      <c r="F51" s="197"/>
      <c r="G51" s="197"/>
      <c r="H51" s="198"/>
    </row>
    <row r="52" spans="1:8" ht="15" customHeight="1">
      <c r="A52" s="192"/>
      <c r="B52" s="195"/>
      <c r="C52" s="108"/>
      <c r="D52" s="109"/>
      <c r="E52" s="192"/>
      <c r="F52" s="192"/>
      <c r="G52" s="192"/>
      <c r="H52" s="199"/>
    </row>
    <row r="53" spans="1:8" ht="15" customHeight="1">
      <c r="A53" s="197"/>
      <c r="B53" s="196"/>
      <c r="C53" s="112"/>
      <c r="D53" s="113"/>
      <c r="E53" s="191">
        <v>200</v>
      </c>
      <c r="F53" s="197"/>
      <c r="G53" s="197"/>
      <c r="H53" s="198"/>
    </row>
    <row r="54" spans="1:8" ht="15" customHeight="1">
      <c r="A54" s="193"/>
      <c r="B54" s="193"/>
      <c r="C54" s="115"/>
      <c r="D54" s="116"/>
      <c r="E54" s="193"/>
      <c r="F54" s="193"/>
      <c r="G54" s="193"/>
      <c r="H54" s="200"/>
    </row>
    <row r="55" spans="1:8" ht="18.75" customHeight="1">
      <c r="A55" s="117"/>
      <c r="B55" s="118" t="s">
        <v>115</v>
      </c>
      <c r="C55" s="119"/>
      <c r="D55" s="120"/>
      <c r="E55" s="121"/>
      <c r="F55" s="117"/>
      <c r="G55" s="117"/>
      <c r="H55" s="122"/>
    </row>
    <row r="56" spans="1:8" ht="9" customHeight="1">
      <c r="B56" s="102"/>
      <c r="D56" s="123"/>
      <c r="E56" s="100"/>
    </row>
    <row r="57" spans="1:8" ht="13.5" customHeight="1">
      <c r="B57" s="124" t="s">
        <v>136</v>
      </c>
      <c r="C57" s="125" t="s">
        <v>152</v>
      </c>
      <c r="D57" s="126">
        <v>600</v>
      </c>
      <c r="E57" s="127"/>
      <c r="F57" s="125" t="s">
        <v>153</v>
      </c>
    </row>
    <row r="58" spans="1:8" ht="13.5" customHeight="1">
      <c r="B58" s="102"/>
      <c r="D58" s="123"/>
      <c r="E58" s="100"/>
    </row>
    <row r="59" spans="1:8" ht="13.5" customHeight="1">
      <c r="B59" s="102"/>
      <c r="D59" s="123"/>
      <c r="E59" s="100"/>
    </row>
    <row r="60" spans="1:8" ht="13.5" customHeight="1">
      <c r="B60" s="102"/>
      <c r="D60" s="123"/>
      <c r="E60" s="100"/>
    </row>
    <row r="61" spans="1:8" ht="13.5" customHeight="1">
      <c r="B61" s="102"/>
      <c r="D61" s="123"/>
      <c r="E61" s="100"/>
    </row>
    <row r="62" spans="1:8" ht="13.5" customHeight="1">
      <c r="B62" s="102"/>
      <c r="D62" s="123"/>
      <c r="E62" s="100"/>
    </row>
    <row r="63" spans="1:8" ht="13.5" customHeight="1">
      <c r="B63" s="102"/>
      <c r="D63" s="123"/>
      <c r="E63" s="100"/>
    </row>
    <row r="64" spans="1:8" ht="13.5" customHeight="1">
      <c r="B64" s="102"/>
      <c r="D64" s="123"/>
      <c r="E64" s="100"/>
    </row>
    <row r="65" spans="2:5" ht="13.5" customHeight="1">
      <c r="B65" s="102"/>
      <c r="D65" s="123"/>
      <c r="E65" s="100"/>
    </row>
    <row r="66" spans="2:5" ht="13.5" customHeight="1">
      <c r="B66" s="102"/>
      <c r="D66" s="123"/>
      <c r="E66" s="100"/>
    </row>
    <row r="67" spans="2:5" ht="13.5" customHeight="1">
      <c r="B67" s="102"/>
      <c r="D67" s="123"/>
      <c r="E67" s="100"/>
    </row>
    <row r="68" spans="2:5" ht="13.5" customHeight="1">
      <c r="B68" s="102"/>
      <c r="D68" s="123"/>
      <c r="E68" s="100"/>
    </row>
    <row r="69" spans="2:5" ht="13.5" customHeight="1">
      <c r="B69" s="102"/>
      <c r="D69" s="123"/>
      <c r="E69" s="100"/>
    </row>
    <row r="70" spans="2:5" ht="13.5" customHeight="1">
      <c r="B70" s="102"/>
      <c r="D70" s="123"/>
      <c r="E70" s="100"/>
    </row>
    <row r="71" spans="2:5" ht="13.5" customHeight="1">
      <c r="B71" s="102"/>
      <c r="D71" s="123"/>
      <c r="E71" s="100"/>
    </row>
    <row r="72" spans="2:5" ht="13.5" customHeight="1">
      <c r="B72" s="102"/>
      <c r="D72" s="123"/>
      <c r="E72" s="100"/>
    </row>
    <row r="73" spans="2:5" ht="13.5" customHeight="1">
      <c r="B73" s="102"/>
      <c r="D73" s="123"/>
      <c r="E73" s="100"/>
    </row>
    <row r="74" spans="2:5" ht="13.5" customHeight="1">
      <c r="B74" s="102"/>
      <c r="D74" s="123"/>
      <c r="E74" s="100"/>
    </row>
    <row r="75" spans="2:5" ht="13.5" customHeight="1">
      <c r="B75" s="102"/>
      <c r="D75" s="123"/>
      <c r="E75" s="100"/>
    </row>
    <row r="76" spans="2:5" ht="13.5" customHeight="1">
      <c r="B76" s="102"/>
      <c r="D76" s="123"/>
      <c r="E76" s="100"/>
    </row>
    <row r="77" spans="2:5" ht="13.5" customHeight="1">
      <c r="B77" s="102"/>
      <c r="D77" s="123"/>
      <c r="E77" s="100"/>
    </row>
    <row r="78" spans="2:5" ht="13.5" customHeight="1">
      <c r="B78" s="102"/>
      <c r="D78" s="123"/>
      <c r="E78" s="100"/>
    </row>
    <row r="79" spans="2:5" ht="13.5" customHeight="1">
      <c r="B79" s="102"/>
      <c r="D79" s="123"/>
      <c r="E79" s="100"/>
    </row>
    <row r="80" spans="2:5" ht="13.5" customHeight="1">
      <c r="B80" s="102"/>
      <c r="D80" s="123"/>
      <c r="E80" s="100"/>
    </row>
    <row r="81" spans="2:5" ht="13.5" customHeight="1">
      <c r="B81" s="102"/>
      <c r="D81" s="123"/>
      <c r="E81" s="100"/>
    </row>
    <row r="82" spans="2:5" ht="13.5" customHeight="1">
      <c r="B82" s="102"/>
      <c r="D82" s="123"/>
      <c r="E82" s="100"/>
    </row>
    <row r="83" spans="2:5" ht="13.5" customHeight="1">
      <c r="B83" s="102"/>
      <c r="D83" s="123"/>
      <c r="E83" s="100"/>
    </row>
    <row r="84" spans="2:5" ht="13.5" customHeight="1">
      <c r="B84" s="102"/>
      <c r="D84" s="123"/>
      <c r="E84" s="100"/>
    </row>
    <row r="85" spans="2:5" ht="13.5" customHeight="1">
      <c r="B85" s="102"/>
      <c r="D85" s="123"/>
      <c r="E85" s="100"/>
    </row>
    <row r="86" spans="2:5" ht="13.5" customHeight="1">
      <c r="B86" s="102"/>
      <c r="D86" s="123"/>
      <c r="E86" s="100"/>
    </row>
    <row r="87" spans="2:5" ht="13.5" customHeight="1">
      <c r="B87" s="102"/>
      <c r="D87" s="123"/>
      <c r="E87" s="100"/>
    </row>
    <row r="88" spans="2:5" ht="13.5" customHeight="1">
      <c r="B88" s="102"/>
      <c r="D88" s="123"/>
      <c r="E88" s="100"/>
    </row>
    <row r="89" spans="2:5" ht="13.5" customHeight="1">
      <c r="B89" s="102"/>
      <c r="D89" s="123"/>
      <c r="E89" s="100"/>
    </row>
    <row r="90" spans="2:5" ht="13.5" customHeight="1">
      <c r="B90" s="102"/>
      <c r="D90" s="123"/>
      <c r="E90" s="100"/>
    </row>
    <row r="91" spans="2:5" ht="13.5" customHeight="1">
      <c r="B91" s="102"/>
      <c r="D91" s="123"/>
      <c r="E91" s="100"/>
    </row>
    <row r="92" spans="2:5" ht="13.5" customHeight="1">
      <c r="B92" s="102"/>
      <c r="D92" s="123"/>
      <c r="E92" s="100"/>
    </row>
    <row r="93" spans="2:5" ht="13.5" customHeight="1">
      <c r="B93" s="102"/>
      <c r="D93" s="123"/>
      <c r="E93" s="100"/>
    </row>
    <row r="94" spans="2:5" ht="13.5" customHeight="1">
      <c r="B94" s="102"/>
      <c r="D94" s="123"/>
      <c r="E94" s="100"/>
    </row>
    <row r="95" spans="2:5" ht="13.5" customHeight="1">
      <c r="B95" s="102"/>
      <c r="D95" s="123"/>
      <c r="E95" s="100"/>
    </row>
    <row r="96" spans="2:5" ht="13.5" customHeight="1">
      <c r="B96" s="102"/>
      <c r="D96" s="123"/>
      <c r="E96" s="100"/>
    </row>
    <row r="97" spans="2:5" ht="13.5" customHeight="1">
      <c r="B97" s="102"/>
      <c r="D97" s="123"/>
      <c r="E97" s="100"/>
    </row>
    <row r="98" spans="2:5" ht="13.5" customHeight="1">
      <c r="B98" s="102"/>
      <c r="D98" s="123"/>
      <c r="E98" s="100"/>
    </row>
    <row r="99" spans="2:5" ht="13.5" customHeight="1">
      <c r="B99" s="102"/>
      <c r="D99" s="123"/>
      <c r="E99" s="100"/>
    </row>
    <row r="100" spans="2:5" ht="13.5" customHeight="1">
      <c r="B100" s="102"/>
      <c r="D100" s="123"/>
      <c r="E100" s="100"/>
    </row>
    <row r="101" spans="2:5" ht="13.5" customHeight="1">
      <c r="B101" s="102"/>
      <c r="D101" s="123"/>
      <c r="E101" s="100"/>
    </row>
    <row r="102" spans="2:5" ht="13.5" customHeight="1">
      <c r="B102" s="102"/>
      <c r="D102" s="123"/>
      <c r="E102" s="100"/>
    </row>
    <row r="103" spans="2:5" ht="13.5" customHeight="1">
      <c r="B103" s="102"/>
      <c r="D103" s="123"/>
      <c r="E103" s="100"/>
    </row>
    <row r="104" spans="2:5" ht="13.5" customHeight="1">
      <c r="B104" s="102"/>
      <c r="D104" s="123"/>
      <c r="E104" s="100"/>
    </row>
    <row r="105" spans="2:5" ht="13.5" customHeight="1">
      <c r="B105" s="102"/>
      <c r="D105" s="123"/>
      <c r="E105" s="100"/>
    </row>
    <row r="106" spans="2:5" ht="13.5" customHeight="1">
      <c r="B106" s="102"/>
      <c r="D106" s="123"/>
      <c r="E106" s="100"/>
    </row>
    <row r="107" spans="2:5" ht="13.5" customHeight="1">
      <c r="B107" s="102"/>
      <c r="D107" s="123"/>
      <c r="E107" s="100"/>
    </row>
    <row r="108" spans="2:5" ht="13.5" customHeight="1">
      <c r="B108" s="102"/>
      <c r="D108" s="123"/>
      <c r="E108" s="100"/>
    </row>
    <row r="109" spans="2:5" ht="13.5" customHeight="1">
      <c r="B109" s="102"/>
      <c r="D109" s="123"/>
      <c r="E109" s="100"/>
    </row>
    <row r="110" spans="2:5" ht="13.5" customHeight="1">
      <c r="B110" s="102"/>
      <c r="D110" s="123"/>
      <c r="E110" s="100"/>
    </row>
    <row r="111" spans="2:5" ht="13.5" customHeight="1">
      <c r="B111" s="102"/>
      <c r="D111" s="123"/>
      <c r="E111" s="100"/>
    </row>
    <row r="112" spans="2:5" ht="13.5" customHeight="1">
      <c r="B112" s="102"/>
      <c r="D112" s="123"/>
      <c r="E112" s="100"/>
    </row>
    <row r="113" spans="2:5" ht="13.5" customHeight="1">
      <c r="B113" s="102"/>
      <c r="D113" s="123"/>
      <c r="E113" s="100"/>
    </row>
    <row r="114" spans="2:5" ht="13.5" customHeight="1">
      <c r="B114" s="102"/>
      <c r="D114" s="123"/>
      <c r="E114" s="100"/>
    </row>
    <row r="115" spans="2:5" ht="13.5" customHeight="1">
      <c r="B115" s="102"/>
      <c r="D115" s="123"/>
      <c r="E115" s="100"/>
    </row>
    <row r="116" spans="2:5" ht="13.5" customHeight="1">
      <c r="B116" s="102"/>
      <c r="D116" s="123"/>
      <c r="E116" s="100"/>
    </row>
    <row r="117" spans="2:5" ht="13.5" customHeight="1">
      <c r="B117" s="102"/>
      <c r="D117" s="123"/>
      <c r="E117" s="100"/>
    </row>
    <row r="118" spans="2:5" ht="13.5" customHeight="1">
      <c r="B118" s="102"/>
      <c r="D118" s="123"/>
      <c r="E118" s="100"/>
    </row>
    <row r="119" spans="2:5" ht="13.5" customHeight="1">
      <c r="B119" s="102"/>
      <c r="D119" s="123"/>
      <c r="E119" s="100"/>
    </row>
    <row r="120" spans="2:5" ht="13.5" customHeight="1">
      <c r="B120" s="102"/>
      <c r="D120" s="123"/>
      <c r="E120" s="100"/>
    </row>
    <row r="121" spans="2:5" ht="13.5" customHeight="1">
      <c r="B121" s="102"/>
      <c r="D121" s="123"/>
      <c r="E121" s="100"/>
    </row>
    <row r="122" spans="2:5" ht="13.5" customHeight="1">
      <c r="B122" s="102"/>
      <c r="D122" s="123"/>
      <c r="E122" s="100"/>
    </row>
    <row r="123" spans="2:5" ht="13.5" customHeight="1">
      <c r="B123" s="102"/>
      <c r="D123" s="123"/>
      <c r="E123" s="100"/>
    </row>
    <row r="124" spans="2:5" ht="13.5" customHeight="1">
      <c r="B124" s="102"/>
      <c r="D124" s="123"/>
      <c r="E124" s="100"/>
    </row>
    <row r="125" spans="2:5" ht="13.5" customHeight="1">
      <c r="B125" s="102"/>
      <c r="D125" s="123"/>
      <c r="E125" s="100"/>
    </row>
    <row r="126" spans="2:5" ht="13.5" customHeight="1">
      <c r="B126" s="102"/>
      <c r="D126" s="123"/>
      <c r="E126" s="100"/>
    </row>
    <row r="127" spans="2:5" ht="13.5" customHeight="1">
      <c r="B127" s="102"/>
      <c r="D127" s="123"/>
      <c r="E127" s="100"/>
    </row>
    <row r="128" spans="2:5" ht="13.5" customHeight="1">
      <c r="B128" s="102"/>
      <c r="D128" s="123"/>
      <c r="E128" s="100"/>
    </row>
    <row r="129" spans="2:5" ht="13.5" customHeight="1">
      <c r="B129" s="102"/>
      <c r="D129" s="123"/>
      <c r="E129" s="100"/>
    </row>
    <row r="130" spans="2:5" ht="13.5" customHeight="1">
      <c r="B130" s="102"/>
      <c r="D130" s="123"/>
      <c r="E130" s="100"/>
    </row>
    <row r="131" spans="2:5" ht="13.5" customHeight="1">
      <c r="B131" s="102"/>
      <c r="D131" s="123"/>
      <c r="E131" s="100"/>
    </row>
    <row r="132" spans="2:5" ht="13.5" customHeight="1">
      <c r="B132" s="102"/>
      <c r="D132" s="123"/>
      <c r="E132" s="100"/>
    </row>
    <row r="133" spans="2:5" ht="13.5" customHeight="1">
      <c r="B133" s="102"/>
      <c r="D133" s="123"/>
      <c r="E133" s="100"/>
    </row>
    <row r="134" spans="2:5" ht="13.5" customHeight="1">
      <c r="B134" s="102"/>
      <c r="D134" s="123"/>
      <c r="E134" s="100"/>
    </row>
    <row r="135" spans="2:5" ht="13.5" customHeight="1">
      <c r="B135" s="102"/>
      <c r="D135" s="123"/>
      <c r="E135" s="100"/>
    </row>
    <row r="136" spans="2:5" ht="13.5" customHeight="1">
      <c r="B136" s="102"/>
      <c r="D136" s="123"/>
      <c r="E136" s="100"/>
    </row>
    <row r="137" spans="2:5" ht="13.5" customHeight="1">
      <c r="B137" s="102"/>
      <c r="D137" s="123"/>
      <c r="E137" s="100"/>
    </row>
    <row r="138" spans="2:5" ht="13.5" customHeight="1">
      <c r="B138" s="102"/>
      <c r="D138" s="123"/>
      <c r="E138" s="100"/>
    </row>
    <row r="139" spans="2:5" ht="13.5" customHeight="1">
      <c r="B139" s="102"/>
      <c r="D139" s="123"/>
      <c r="E139" s="100"/>
    </row>
    <row r="140" spans="2:5" ht="13.5" customHeight="1">
      <c r="B140" s="102"/>
      <c r="D140" s="123"/>
      <c r="E140" s="100"/>
    </row>
    <row r="141" spans="2:5" ht="13.5" customHeight="1">
      <c r="B141" s="102"/>
      <c r="D141" s="123"/>
      <c r="E141" s="100"/>
    </row>
    <row r="142" spans="2:5" ht="13.5" customHeight="1">
      <c r="B142" s="102"/>
      <c r="D142" s="123"/>
      <c r="E142" s="100"/>
    </row>
    <row r="143" spans="2:5" ht="13.5" customHeight="1">
      <c r="B143" s="102"/>
      <c r="D143" s="123"/>
      <c r="E143" s="100"/>
    </row>
    <row r="144" spans="2:5" ht="13.5" customHeight="1">
      <c r="B144" s="102"/>
      <c r="D144" s="123"/>
      <c r="E144" s="100"/>
    </row>
    <row r="145" spans="2:5" ht="13.5" customHeight="1">
      <c r="B145" s="102"/>
      <c r="D145" s="123"/>
      <c r="E145" s="100"/>
    </row>
    <row r="146" spans="2:5" ht="13.5" customHeight="1">
      <c r="B146" s="102"/>
      <c r="D146" s="123"/>
      <c r="E146" s="100"/>
    </row>
    <row r="147" spans="2:5" ht="13.5" customHeight="1">
      <c r="B147" s="102"/>
      <c r="D147" s="123"/>
      <c r="E147" s="100"/>
    </row>
    <row r="148" spans="2:5" ht="13.5" customHeight="1">
      <c r="B148" s="102"/>
      <c r="D148" s="123"/>
      <c r="E148" s="100"/>
    </row>
    <row r="149" spans="2:5" ht="13.5" customHeight="1">
      <c r="B149" s="102"/>
      <c r="D149" s="123"/>
      <c r="E149" s="100"/>
    </row>
    <row r="150" spans="2:5" ht="13.5" customHeight="1">
      <c r="B150" s="102"/>
      <c r="D150" s="123"/>
      <c r="E150" s="100"/>
    </row>
    <row r="151" spans="2:5" ht="13.5" customHeight="1">
      <c r="B151" s="102"/>
      <c r="D151" s="123"/>
      <c r="E151" s="100"/>
    </row>
    <row r="152" spans="2:5" ht="13.5" customHeight="1">
      <c r="B152" s="102"/>
      <c r="D152" s="123"/>
      <c r="E152" s="100"/>
    </row>
    <row r="153" spans="2:5" ht="13.5" customHeight="1">
      <c r="B153" s="102"/>
      <c r="D153" s="123"/>
      <c r="E153" s="100"/>
    </row>
    <row r="154" spans="2:5" ht="13.5" customHeight="1">
      <c r="B154" s="102"/>
      <c r="D154" s="123"/>
      <c r="E154" s="100"/>
    </row>
    <row r="155" spans="2:5" ht="13.5" customHeight="1">
      <c r="B155" s="102"/>
      <c r="D155" s="123"/>
      <c r="E155" s="100"/>
    </row>
    <row r="156" spans="2:5" ht="13.5" customHeight="1">
      <c r="B156" s="102"/>
      <c r="D156" s="123"/>
      <c r="E156" s="100"/>
    </row>
    <row r="157" spans="2:5" ht="13.5" customHeight="1">
      <c r="B157" s="102"/>
      <c r="D157" s="123"/>
      <c r="E157" s="100"/>
    </row>
    <row r="158" spans="2:5" ht="13.5" customHeight="1">
      <c r="B158" s="102"/>
      <c r="D158" s="123"/>
      <c r="E158" s="100"/>
    </row>
    <row r="159" spans="2:5" ht="13.5" customHeight="1">
      <c r="B159" s="102"/>
      <c r="D159" s="123"/>
      <c r="E159" s="100"/>
    </row>
    <row r="160" spans="2:5" ht="13.5" customHeight="1">
      <c r="B160" s="102"/>
      <c r="D160" s="123"/>
      <c r="E160" s="100"/>
    </row>
    <row r="161" spans="2:5" ht="13.5" customHeight="1">
      <c r="B161" s="102"/>
      <c r="D161" s="123"/>
      <c r="E161" s="100"/>
    </row>
    <row r="162" spans="2:5" ht="13.5" customHeight="1">
      <c r="B162" s="102"/>
      <c r="D162" s="123"/>
      <c r="E162" s="100"/>
    </row>
    <row r="163" spans="2:5" ht="13.5" customHeight="1">
      <c r="B163" s="102"/>
      <c r="D163" s="123"/>
      <c r="E163" s="100"/>
    </row>
    <row r="164" spans="2:5" ht="13.5" customHeight="1">
      <c r="B164" s="102"/>
      <c r="D164" s="123"/>
      <c r="E164" s="100"/>
    </row>
    <row r="165" spans="2:5" ht="13.5" customHeight="1">
      <c r="B165" s="102"/>
      <c r="D165" s="123"/>
      <c r="E165" s="100"/>
    </row>
    <row r="166" spans="2:5" ht="13.5" customHeight="1">
      <c r="B166" s="102"/>
      <c r="D166" s="123"/>
      <c r="E166" s="100"/>
    </row>
    <row r="167" spans="2:5" ht="13.5" customHeight="1">
      <c r="B167" s="102"/>
      <c r="D167" s="123"/>
      <c r="E167" s="100"/>
    </row>
    <row r="168" spans="2:5" ht="13.5" customHeight="1">
      <c r="B168" s="102"/>
      <c r="D168" s="123"/>
      <c r="E168" s="100"/>
    </row>
    <row r="169" spans="2:5" ht="13.5" customHeight="1">
      <c r="B169" s="102"/>
      <c r="D169" s="123"/>
      <c r="E169" s="100"/>
    </row>
    <row r="170" spans="2:5" ht="13.5" customHeight="1">
      <c r="B170" s="102"/>
      <c r="D170" s="123"/>
      <c r="E170" s="100"/>
    </row>
    <row r="171" spans="2:5" ht="13.5" customHeight="1">
      <c r="B171" s="102"/>
      <c r="D171" s="123"/>
      <c r="E171" s="100"/>
    </row>
    <row r="172" spans="2:5" ht="13.5" customHeight="1">
      <c r="B172" s="102"/>
      <c r="D172" s="123"/>
      <c r="E172" s="100"/>
    </row>
    <row r="173" spans="2:5" ht="13.5" customHeight="1">
      <c r="B173" s="102"/>
      <c r="D173" s="123"/>
      <c r="E173" s="100"/>
    </row>
    <row r="174" spans="2:5" ht="13.5" customHeight="1">
      <c r="B174" s="102"/>
      <c r="D174" s="123"/>
      <c r="E174" s="100"/>
    </row>
    <row r="175" spans="2:5" ht="13.5" customHeight="1">
      <c r="B175" s="102"/>
      <c r="D175" s="123"/>
      <c r="E175" s="100"/>
    </row>
    <row r="176" spans="2:5" ht="13.5" customHeight="1">
      <c r="B176" s="102"/>
      <c r="D176" s="123"/>
      <c r="E176" s="100"/>
    </row>
    <row r="177" spans="2:5" ht="13.5" customHeight="1">
      <c r="B177" s="102"/>
      <c r="D177" s="123"/>
      <c r="E177" s="100"/>
    </row>
    <row r="178" spans="2:5" ht="13.5" customHeight="1">
      <c r="B178" s="102"/>
      <c r="D178" s="123"/>
      <c r="E178" s="100"/>
    </row>
    <row r="179" spans="2:5" ht="13.5" customHeight="1">
      <c r="B179" s="102"/>
      <c r="D179" s="123"/>
      <c r="E179" s="100"/>
    </row>
    <row r="180" spans="2:5" ht="13.5" customHeight="1">
      <c r="B180" s="102"/>
      <c r="D180" s="123"/>
      <c r="E180" s="100"/>
    </row>
    <row r="181" spans="2:5" ht="13.5" customHeight="1">
      <c r="B181" s="102"/>
      <c r="D181" s="123"/>
      <c r="E181" s="100"/>
    </row>
    <row r="182" spans="2:5" ht="13.5" customHeight="1">
      <c r="B182" s="102"/>
      <c r="D182" s="123"/>
      <c r="E182" s="100"/>
    </row>
    <row r="183" spans="2:5" ht="13.5" customHeight="1">
      <c r="B183" s="102"/>
      <c r="D183" s="123"/>
      <c r="E183" s="100"/>
    </row>
    <row r="184" spans="2:5" ht="13.5" customHeight="1">
      <c r="B184" s="102"/>
      <c r="D184" s="123"/>
      <c r="E184" s="100"/>
    </row>
    <row r="185" spans="2:5" ht="13.5" customHeight="1">
      <c r="B185" s="102"/>
      <c r="D185" s="123"/>
      <c r="E185" s="100"/>
    </row>
    <row r="186" spans="2:5" ht="13.5" customHeight="1">
      <c r="B186" s="102"/>
      <c r="D186" s="123"/>
      <c r="E186" s="100"/>
    </row>
    <row r="187" spans="2:5" ht="13.5" customHeight="1">
      <c r="B187" s="102"/>
      <c r="D187" s="123"/>
      <c r="E187" s="100"/>
    </row>
    <row r="188" spans="2:5" ht="13.5" customHeight="1">
      <c r="B188" s="102"/>
      <c r="D188" s="123"/>
      <c r="E188" s="100"/>
    </row>
    <row r="189" spans="2:5" ht="13.5" customHeight="1">
      <c r="B189" s="102"/>
      <c r="D189" s="123"/>
      <c r="E189" s="100"/>
    </row>
    <row r="190" spans="2:5" ht="13.5" customHeight="1">
      <c r="B190" s="102"/>
      <c r="D190" s="123"/>
      <c r="E190" s="100"/>
    </row>
    <row r="191" spans="2:5" ht="13.5" customHeight="1">
      <c r="B191" s="102"/>
      <c r="D191" s="123"/>
      <c r="E191" s="100"/>
    </row>
    <row r="192" spans="2:5" ht="13.5" customHeight="1">
      <c r="B192" s="102"/>
      <c r="D192" s="123"/>
      <c r="E192" s="100"/>
    </row>
    <row r="193" spans="2:5" ht="13.5" customHeight="1">
      <c r="B193" s="102"/>
      <c r="D193" s="123"/>
      <c r="E193" s="100"/>
    </row>
    <row r="194" spans="2:5" ht="13.5" customHeight="1">
      <c r="B194" s="102"/>
      <c r="D194" s="123"/>
      <c r="E194" s="100"/>
    </row>
    <row r="195" spans="2:5" ht="13.5" customHeight="1">
      <c r="B195" s="102"/>
      <c r="D195" s="123"/>
      <c r="E195" s="100"/>
    </row>
    <row r="196" spans="2:5" ht="13.5" customHeight="1">
      <c r="B196" s="102"/>
      <c r="D196" s="123"/>
      <c r="E196" s="100"/>
    </row>
    <row r="197" spans="2:5" ht="13.5" customHeight="1">
      <c r="B197" s="102"/>
      <c r="D197" s="123"/>
      <c r="E197" s="100"/>
    </row>
    <row r="198" spans="2:5" ht="13.5" customHeight="1">
      <c r="B198" s="102"/>
      <c r="D198" s="123"/>
      <c r="E198" s="100"/>
    </row>
    <row r="199" spans="2:5" ht="13.5" customHeight="1">
      <c r="B199" s="102"/>
      <c r="D199" s="123"/>
      <c r="E199" s="100"/>
    </row>
    <row r="200" spans="2:5" ht="13.5" customHeight="1">
      <c r="B200" s="102"/>
      <c r="D200" s="123"/>
      <c r="E200" s="100"/>
    </row>
    <row r="201" spans="2:5" ht="13.5" customHeight="1">
      <c r="B201" s="102"/>
      <c r="D201" s="123"/>
      <c r="E201" s="100"/>
    </row>
    <row r="202" spans="2:5" ht="13.5" customHeight="1">
      <c r="B202" s="102"/>
      <c r="D202" s="123"/>
      <c r="E202" s="100"/>
    </row>
    <row r="203" spans="2:5" ht="13.5" customHeight="1">
      <c r="B203" s="102"/>
      <c r="D203" s="123"/>
      <c r="E203" s="100"/>
    </row>
    <row r="204" spans="2:5" ht="13.5" customHeight="1">
      <c r="B204" s="102"/>
      <c r="D204" s="123"/>
      <c r="E204" s="100"/>
    </row>
    <row r="205" spans="2:5" ht="13.5" customHeight="1">
      <c r="B205" s="102"/>
      <c r="D205" s="123"/>
      <c r="E205" s="100"/>
    </row>
    <row r="206" spans="2:5" ht="13.5" customHeight="1">
      <c r="B206" s="102"/>
      <c r="D206" s="123"/>
      <c r="E206" s="100"/>
    </row>
    <row r="207" spans="2:5" ht="13.5" customHeight="1">
      <c r="B207" s="102"/>
      <c r="D207" s="123"/>
      <c r="E207" s="100"/>
    </row>
    <row r="208" spans="2:5" ht="13.5" customHeight="1">
      <c r="B208" s="102"/>
      <c r="D208" s="123"/>
      <c r="E208" s="100"/>
    </row>
    <row r="209" spans="2:5" ht="13.5" customHeight="1">
      <c r="B209" s="102"/>
      <c r="D209" s="123"/>
      <c r="E209" s="100"/>
    </row>
    <row r="210" spans="2:5" ht="13.5" customHeight="1">
      <c r="B210" s="102"/>
      <c r="D210" s="123"/>
      <c r="E210" s="100"/>
    </row>
    <row r="211" spans="2:5" ht="13.5" customHeight="1">
      <c r="B211" s="102"/>
      <c r="D211" s="123"/>
      <c r="E211" s="100"/>
    </row>
    <row r="212" spans="2:5" ht="13.5" customHeight="1">
      <c r="B212" s="102"/>
      <c r="D212" s="123"/>
      <c r="E212" s="100"/>
    </row>
    <row r="213" spans="2:5" ht="13.5" customHeight="1">
      <c r="B213" s="102"/>
      <c r="D213" s="123"/>
      <c r="E213" s="100"/>
    </row>
    <row r="214" spans="2:5" ht="13.5" customHeight="1">
      <c r="B214" s="102"/>
      <c r="D214" s="123"/>
      <c r="E214" s="100"/>
    </row>
    <row r="215" spans="2:5" ht="13.5" customHeight="1">
      <c r="B215" s="102"/>
      <c r="D215" s="123"/>
      <c r="E215" s="100"/>
    </row>
    <row r="216" spans="2:5" ht="13.5" customHeight="1">
      <c r="B216" s="102"/>
      <c r="D216" s="123"/>
      <c r="E216" s="100"/>
    </row>
    <row r="217" spans="2:5" ht="13.5" customHeight="1">
      <c r="B217" s="102"/>
      <c r="D217" s="123"/>
      <c r="E217" s="100"/>
    </row>
    <row r="218" spans="2:5" ht="13.5" customHeight="1">
      <c r="B218" s="102"/>
      <c r="D218" s="123"/>
      <c r="E218" s="100"/>
    </row>
    <row r="219" spans="2:5" ht="13.5" customHeight="1">
      <c r="B219" s="102"/>
      <c r="D219" s="123"/>
      <c r="E219" s="100"/>
    </row>
    <row r="220" spans="2:5" ht="13.5" customHeight="1">
      <c r="B220" s="102"/>
      <c r="D220" s="123"/>
      <c r="E220" s="100"/>
    </row>
    <row r="221" spans="2:5" ht="13.5" customHeight="1">
      <c r="B221" s="102"/>
      <c r="D221" s="123"/>
      <c r="E221" s="100"/>
    </row>
    <row r="222" spans="2:5" ht="13.5" customHeight="1">
      <c r="B222" s="102"/>
      <c r="D222" s="123"/>
      <c r="E222" s="100"/>
    </row>
    <row r="223" spans="2:5" ht="13.5" customHeight="1">
      <c r="B223" s="102"/>
      <c r="D223" s="123"/>
      <c r="E223" s="100"/>
    </row>
    <row r="224" spans="2:5" ht="13.5" customHeight="1">
      <c r="B224" s="102"/>
      <c r="D224" s="123"/>
      <c r="E224" s="100"/>
    </row>
    <row r="225" spans="2:5" ht="13.5" customHeight="1">
      <c r="B225" s="102"/>
      <c r="D225" s="123"/>
      <c r="E225" s="100"/>
    </row>
    <row r="226" spans="2:5" ht="13.5" customHeight="1">
      <c r="B226" s="102"/>
      <c r="D226" s="123"/>
      <c r="E226" s="100"/>
    </row>
    <row r="227" spans="2:5" ht="13.5" customHeight="1">
      <c r="B227" s="102"/>
      <c r="D227" s="123"/>
      <c r="E227" s="100"/>
    </row>
    <row r="228" spans="2:5" ht="13.5" customHeight="1">
      <c r="B228" s="102"/>
      <c r="D228" s="123"/>
      <c r="E228" s="100"/>
    </row>
    <row r="229" spans="2:5" ht="13.5" customHeight="1">
      <c r="B229" s="102"/>
      <c r="D229" s="123"/>
      <c r="E229" s="100"/>
    </row>
    <row r="230" spans="2:5" ht="13.5" customHeight="1">
      <c r="B230" s="102"/>
      <c r="D230" s="123"/>
      <c r="E230" s="100"/>
    </row>
    <row r="231" spans="2:5" ht="13.5" customHeight="1">
      <c r="B231" s="102"/>
      <c r="D231" s="123"/>
      <c r="E231" s="100"/>
    </row>
    <row r="232" spans="2:5" ht="13.5" customHeight="1">
      <c r="B232" s="102"/>
      <c r="D232" s="123"/>
      <c r="E232" s="100"/>
    </row>
    <row r="233" spans="2:5" ht="13.5" customHeight="1">
      <c r="B233" s="102"/>
      <c r="D233" s="123"/>
      <c r="E233" s="100"/>
    </row>
    <row r="234" spans="2:5" ht="13.5" customHeight="1">
      <c r="B234" s="102"/>
      <c r="D234" s="123"/>
      <c r="E234" s="100"/>
    </row>
    <row r="235" spans="2:5" ht="13.5" customHeight="1">
      <c r="B235" s="102"/>
      <c r="D235" s="123"/>
      <c r="E235" s="100"/>
    </row>
    <row r="236" spans="2:5" ht="13.5" customHeight="1">
      <c r="B236" s="102"/>
      <c r="D236" s="123"/>
      <c r="E236" s="100"/>
    </row>
    <row r="237" spans="2:5" ht="13.5" customHeight="1">
      <c r="B237" s="102"/>
      <c r="D237" s="123"/>
      <c r="E237" s="100"/>
    </row>
    <row r="238" spans="2:5" ht="13.5" customHeight="1">
      <c r="B238" s="102"/>
      <c r="D238" s="123"/>
      <c r="E238" s="100"/>
    </row>
    <row r="239" spans="2:5" ht="13.5" customHeight="1">
      <c r="B239" s="102"/>
      <c r="D239" s="123"/>
      <c r="E239" s="100"/>
    </row>
    <row r="240" spans="2:5" ht="13.5" customHeight="1">
      <c r="B240" s="102"/>
      <c r="D240" s="123"/>
      <c r="E240" s="100"/>
    </row>
    <row r="241" spans="2:5" ht="13.5" customHeight="1">
      <c r="B241" s="102"/>
      <c r="D241" s="123"/>
      <c r="E241" s="100"/>
    </row>
    <row r="242" spans="2:5" ht="13.5" customHeight="1">
      <c r="B242" s="102"/>
      <c r="D242" s="123"/>
      <c r="E242" s="100"/>
    </row>
    <row r="243" spans="2:5" ht="13.5" customHeight="1">
      <c r="B243" s="102"/>
      <c r="D243" s="123"/>
      <c r="E243" s="100"/>
    </row>
    <row r="244" spans="2:5" ht="13.5" customHeight="1">
      <c r="B244" s="102"/>
      <c r="D244" s="123"/>
      <c r="E244" s="100"/>
    </row>
    <row r="245" spans="2:5" ht="13.5" customHeight="1">
      <c r="B245" s="102"/>
      <c r="D245" s="123"/>
      <c r="E245" s="100"/>
    </row>
    <row r="246" spans="2:5" ht="13.5" customHeight="1">
      <c r="B246" s="102"/>
      <c r="D246" s="123"/>
      <c r="E246" s="100"/>
    </row>
    <row r="247" spans="2:5" ht="13.5" customHeight="1">
      <c r="B247" s="102"/>
      <c r="D247" s="123"/>
      <c r="E247" s="100"/>
    </row>
    <row r="248" spans="2:5" ht="13.5" customHeight="1">
      <c r="B248" s="102"/>
      <c r="D248" s="123"/>
      <c r="E248" s="100"/>
    </row>
    <row r="249" spans="2:5" ht="13.5" customHeight="1">
      <c r="B249" s="102"/>
      <c r="D249" s="123"/>
      <c r="E249" s="100"/>
    </row>
    <row r="250" spans="2:5" ht="13.5" customHeight="1">
      <c r="B250" s="102"/>
      <c r="D250" s="123"/>
      <c r="E250" s="100"/>
    </row>
    <row r="251" spans="2:5" ht="13.5" customHeight="1">
      <c r="B251" s="102"/>
      <c r="D251" s="123"/>
      <c r="E251" s="100"/>
    </row>
    <row r="252" spans="2:5" ht="13.5" customHeight="1">
      <c r="B252" s="102"/>
      <c r="D252" s="123"/>
      <c r="E252" s="100"/>
    </row>
    <row r="253" spans="2:5" ht="13.5" customHeight="1">
      <c r="B253" s="102"/>
      <c r="D253" s="123"/>
      <c r="E253" s="100"/>
    </row>
    <row r="254" spans="2:5" ht="13.5" customHeight="1">
      <c r="B254" s="102"/>
      <c r="D254" s="123"/>
      <c r="E254" s="100"/>
    </row>
    <row r="255" spans="2:5" ht="13.5" customHeight="1">
      <c r="B255" s="102"/>
      <c r="D255" s="123"/>
      <c r="E255" s="100"/>
    </row>
    <row r="256" spans="2:5" ht="13.5" customHeight="1">
      <c r="B256" s="102"/>
      <c r="D256" s="123"/>
      <c r="E256" s="100"/>
    </row>
    <row r="257" spans="2:5" ht="13.5" customHeight="1">
      <c r="B257" s="102"/>
      <c r="D257" s="123"/>
      <c r="E257" s="100"/>
    </row>
    <row r="258" spans="2:5" ht="13.5" customHeight="1">
      <c r="B258" s="102"/>
      <c r="D258" s="123"/>
      <c r="E258" s="100"/>
    </row>
    <row r="259" spans="2:5" ht="13.5" customHeight="1">
      <c r="B259" s="102"/>
      <c r="D259" s="123"/>
      <c r="E259" s="100"/>
    </row>
    <row r="260" spans="2:5" ht="13.5" customHeight="1">
      <c r="B260" s="102"/>
      <c r="D260" s="123"/>
      <c r="E260" s="100"/>
    </row>
    <row r="261" spans="2:5" ht="13.5" customHeight="1">
      <c r="B261" s="102"/>
      <c r="D261" s="123"/>
      <c r="E261" s="100"/>
    </row>
    <row r="262" spans="2:5" ht="13.5" customHeight="1">
      <c r="B262" s="102"/>
      <c r="D262" s="123"/>
      <c r="E262" s="100"/>
    </row>
    <row r="263" spans="2:5" ht="13.5" customHeight="1">
      <c r="B263" s="102"/>
      <c r="D263" s="123"/>
      <c r="E263" s="100"/>
    </row>
    <row r="264" spans="2:5" ht="13.5" customHeight="1">
      <c r="B264" s="102"/>
      <c r="D264" s="123"/>
      <c r="E264" s="100"/>
    </row>
    <row r="265" spans="2:5" ht="13.5" customHeight="1">
      <c r="B265" s="102"/>
      <c r="D265" s="123"/>
      <c r="E265" s="100"/>
    </row>
    <row r="266" spans="2:5" ht="13.5" customHeight="1">
      <c r="B266" s="102"/>
      <c r="D266" s="123"/>
      <c r="E266" s="100"/>
    </row>
    <row r="267" spans="2:5" ht="13.5" customHeight="1">
      <c r="B267" s="102"/>
      <c r="D267" s="123"/>
      <c r="E267" s="100"/>
    </row>
    <row r="268" spans="2:5" ht="13.5" customHeight="1">
      <c r="B268" s="102"/>
      <c r="D268" s="123"/>
      <c r="E268" s="100"/>
    </row>
    <row r="269" spans="2:5" ht="13.5" customHeight="1">
      <c r="B269" s="102"/>
      <c r="D269" s="123"/>
      <c r="E269" s="100"/>
    </row>
    <row r="270" spans="2:5" ht="13.5" customHeight="1">
      <c r="B270" s="102"/>
      <c r="D270" s="123"/>
      <c r="E270" s="100"/>
    </row>
    <row r="271" spans="2:5" ht="13.5" customHeight="1">
      <c r="B271" s="102"/>
      <c r="D271" s="123"/>
      <c r="E271" s="100"/>
    </row>
    <row r="272" spans="2:5" ht="13.5" customHeight="1">
      <c r="B272" s="102"/>
      <c r="D272" s="123"/>
      <c r="E272" s="100"/>
    </row>
    <row r="273" spans="2:5" ht="13.5" customHeight="1">
      <c r="B273" s="102"/>
      <c r="D273" s="123"/>
      <c r="E273" s="100"/>
    </row>
    <row r="274" spans="2:5" ht="13.5" customHeight="1">
      <c r="B274" s="102"/>
      <c r="D274" s="123"/>
      <c r="E274" s="100"/>
    </row>
    <row r="275" spans="2:5" ht="13.5" customHeight="1">
      <c r="B275" s="102"/>
      <c r="D275" s="123"/>
      <c r="E275" s="100"/>
    </row>
    <row r="276" spans="2:5" ht="13.5" customHeight="1">
      <c r="B276" s="102"/>
      <c r="D276" s="123"/>
      <c r="E276" s="100"/>
    </row>
    <row r="277" spans="2:5" ht="13.5" customHeight="1">
      <c r="B277" s="102"/>
      <c r="D277" s="123"/>
      <c r="E277" s="100"/>
    </row>
    <row r="278" spans="2:5" ht="13.5" customHeight="1">
      <c r="B278" s="102"/>
      <c r="D278" s="123"/>
      <c r="E278" s="100"/>
    </row>
    <row r="279" spans="2:5" ht="13.5" customHeight="1">
      <c r="B279" s="102"/>
      <c r="D279" s="123"/>
      <c r="E279" s="100"/>
    </row>
    <row r="280" spans="2:5" ht="13.5" customHeight="1">
      <c r="B280" s="102"/>
      <c r="D280" s="123"/>
      <c r="E280" s="100"/>
    </row>
    <row r="281" spans="2:5" ht="13.5" customHeight="1">
      <c r="B281" s="102"/>
      <c r="D281" s="123"/>
      <c r="E281" s="100"/>
    </row>
    <row r="282" spans="2:5" ht="13.5" customHeight="1">
      <c r="B282" s="102"/>
      <c r="D282" s="123"/>
      <c r="E282" s="100"/>
    </row>
    <row r="283" spans="2:5" ht="13.5" customHeight="1">
      <c r="B283" s="102"/>
      <c r="D283" s="123"/>
      <c r="E283" s="100"/>
    </row>
    <row r="284" spans="2:5" ht="13.5" customHeight="1">
      <c r="B284" s="102"/>
      <c r="D284" s="123"/>
      <c r="E284" s="100"/>
    </row>
    <row r="285" spans="2:5" ht="13.5" customHeight="1">
      <c r="B285" s="102"/>
      <c r="D285" s="123"/>
      <c r="E285" s="100"/>
    </row>
    <row r="286" spans="2:5" ht="13.5" customHeight="1">
      <c r="B286" s="102"/>
      <c r="D286" s="123"/>
      <c r="E286" s="100"/>
    </row>
    <row r="287" spans="2:5" ht="13.5" customHeight="1">
      <c r="B287" s="102"/>
      <c r="D287" s="123"/>
      <c r="E287" s="100"/>
    </row>
    <row r="288" spans="2:5" ht="13.5" customHeight="1">
      <c r="B288" s="102"/>
      <c r="D288" s="123"/>
      <c r="E288" s="100"/>
    </row>
    <row r="289" spans="2:5" ht="13.5" customHeight="1">
      <c r="B289" s="102"/>
      <c r="D289" s="123"/>
      <c r="E289" s="100"/>
    </row>
    <row r="290" spans="2:5" ht="13.5" customHeight="1">
      <c r="B290" s="102"/>
      <c r="D290" s="123"/>
      <c r="E290" s="100"/>
    </row>
    <row r="291" spans="2:5" ht="13.5" customHeight="1">
      <c r="B291" s="102"/>
      <c r="D291" s="123"/>
      <c r="E291" s="100"/>
    </row>
    <row r="292" spans="2:5" ht="13.5" customHeight="1">
      <c r="B292" s="102"/>
      <c r="D292" s="123"/>
      <c r="E292" s="100"/>
    </row>
    <row r="293" spans="2:5" ht="13.5" customHeight="1">
      <c r="B293" s="102"/>
      <c r="D293" s="123"/>
      <c r="E293" s="100"/>
    </row>
    <row r="294" spans="2:5" ht="13.5" customHeight="1">
      <c r="B294" s="102"/>
      <c r="D294" s="123"/>
      <c r="E294" s="100"/>
    </row>
    <row r="295" spans="2:5" ht="13.5" customHeight="1">
      <c r="B295" s="102"/>
      <c r="D295" s="123"/>
      <c r="E295" s="100"/>
    </row>
    <row r="296" spans="2:5" ht="13.5" customHeight="1">
      <c r="B296" s="102"/>
      <c r="D296" s="123"/>
      <c r="E296" s="100"/>
    </row>
    <row r="297" spans="2:5" ht="13.5" customHeight="1">
      <c r="B297" s="102"/>
      <c r="D297" s="123"/>
      <c r="E297" s="100"/>
    </row>
    <row r="298" spans="2:5" ht="13.5" customHeight="1">
      <c r="B298" s="102"/>
      <c r="D298" s="123"/>
      <c r="E298" s="100"/>
    </row>
    <row r="299" spans="2:5" ht="13.5" customHeight="1">
      <c r="B299" s="102"/>
      <c r="D299" s="123"/>
      <c r="E299" s="100"/>
    </row>
    <row r="300" spans="2:5" ht="13.5" customHeight="1">
      <c r="B300" s="102"/>
      <c r="D300" s="123"/>
      <c r="E300" s="100"/>
    </row>
    <row r="301" spans="2:5" ht="13.5" customHeight="1">
      <c r="B301" s="102"/>
      <c r="D301" s="123"/>
      <c r="E301" s="100"/>
    </row>
    <row r="302" spans="2:5" ht="13.5" customHeight="1">
      <c r="B302" s="102"/>
      <c r="D302" s="123"/>
      <c r="E302" s="100"/>
    </row>
    <row r="303" spans="2:5" ht="13.5" customHeight="1">
      <c r="B303" s="102"/>
      <c r="D303" s="123"/>
      <c r="E303" s="100"/>
    </row>
    <row r="304" spans="2:5" ht="13.5" customHeight="1">
      <c r="B304" s="102"/>
      <c r="D304" s="123"/>
      <c r="E304" s="100"/>
    </row>
    <row r="305" spans="2:5" ht="13.5" customHeight="1">
      <c r="B305" s="102"/>
      <c r="D305" s="123"/>
      <c r="E305" s="100"/>
    </row>
    <row r="306" spans="2:5" ht="13.5" customHeight="1">
      <c r="B306" s="102"/>
      <c r="D306" s="123"/>
      <c r="E306" s="100"/>
    </row>
    <row r="307" spans="2:5" ht="13.5" customHeight="1">
      <c r="B307" s="102"/>
      <c r="D307" s="123"/>
      <c r="E307" s="100"/>
    </row>
    <row r="308" spans="2:5" ht="13.5" customHeight="1">
      <c r="B308" s="102"/>
      <c r="D308" s="123"/>
      <c r="E308" s="100"/>
    </row>
    <row r="309" spans="2:5" ht="13.5" customHeight="1">
      <c r="B309" s="102"/>
      <c r="D309" s="123"/>
      <c r="E309" s="100"/>
    </row>
    <row r="310" spans="2:5" ht="13.5" customHeight="1">
      <c r="B310" s="102"/>
      <c r="D310" s="123"/>
      <c r="E310" s="100"/>
    </row>
    <row r="311" spans="2:5" ht="13.5" customHeight="1">
      <c r="B311" s="102"/>
      <c r="D311" s="123"/>
      <c r="E311" s="100"/>
    </row>
    <row r="312" spans="2:5" ht="13.5" customHeight="1">
      <c r="B312" s="102"/>
      <c r="D312" s="123"/>
      <c r="E312" s="100"/>
    </row>
    <row r="313" spans="2:5" ht="13.5" customHeight="1">
      <c r="B313" s="102"/>
      <c r="D313" s="123"/>
      <c r="E313" s="100"/>
    </row>
    <row r="314" spans="2:5" ht="13.5" customHeight="1">
      <c r="B314" s="102"/>
      <c r="D314" s="123"/>
      <c r="E314" s="100"/>
    </row>
    <row r="315" spans="2:5" ht="13.5" customHeight="1">
      <c r="B315" s="102"/>
      <c r="D315" s="123"/>
      <c r="E315" s="100"/>
    </row>
    <row r="316" spans="2:5" ht="13.5" customHeight="1">
      <c r="B316" s="102"/>
      <c r="D316" s="123"/>
      <c r="E316" s="100"/>
    </row>
    <row r="317" spans="2:5" ht="13.5" customHeight="1">
      <c r="B317" s="102"/>
      <c r="D317" s="123"/>
      <c r="E317" s="100"/>
    </row>
    <row r="318" spans="2:5" ht="13.5" customHeight="1">
      <c r="B318" s="102"/>
      <c r="D318" s="123"/>
      <c r="E318" s="100"/>
    </row>
    <row r="319" spans="2:5" ht="13.5" customHeight="1">
      <c r="B319" s="102"/>
      <c r="D319" s="123"/>
      <c r="E319" s="100"/>
    </row>
    <row r="320" spans="2:5" ht="13.5" customHeight="1">
      <c r="B320" s="102"/>
      <c r="D320" s="123"/>
      <c r="E320" s="100"/>
    </row>
    <row r="321" spans="2:5" ht="13.5" customHeight="1">
      <c r="B321" s="102"/>
      <c r="D321" s="123"/>
      <c r="E321" s="100"/>
    </row>
    <row r="322" spans="2:5" ht="13.5" customHeight="1">
      <c r="B322" s="102"/>
      <c r="D322" s="123"/>
      <c r="E322" s="100"/>
    </row>
    <row r="323" spans="2:5" ht="13.5" customHeight="1">
      <c r="B323" s="102"/>
      <c r="D323" s="123"/>
      <c r="E323" s="100"/>
    </row>
    <row r="324" spans="2:5" ht="13.5" customHeight="1">
      <c r="B324" s="102"/>
      <c r="D324" s="123"/>
      <c r="E324" s="100"/>
    </row>
    <row r="325" spans="2:5" ht="13.5" customHeight="1">
      <c r="B325" s="102"/>
      <c r="D325" s="123"/>
      <c r="E325" s="100"/>
    </row>
    <row r="326" spans="2:5" ht="13.5" customHeight="1">
      <c r="B326" s="102"/>
      <c r="D326" s="123"/>
      <c r="E326" s="100"/>
    </row>
    <row r="327" spans="2:5" ht="13.5" customHeight="1">
      <c r="B327" s="102"/>
      <c r="D327" s="123"/>
      <c r="E327" s="100"/>
    </row>
    <row r="328" spans="2:5" ht="13.5" customHeight="1">
      <c r="B328" s="102"/>
      <c r="D328" s="123"/>
      <c r="E328" s="100"/>
    </row>
    <row r="329" spans="2:5" ht="13.5" customHeight="1">
      <c r="B329" s="102"/>
      <c r="D329" s="123"/>
      <c r="E329" s="100"/>
    </row>
    <row r="330" spans="2:5" ht="13.5" customHeight="1">
      <c r="B330" s="102"/>
      <c r="D330" s="123"/>
      <c r="E330" s="100"/>
    </row>
    <row r="331" spans="2:5" ht="13.5" customHeight="1">
      <c r="B331" s="102"/>
      <c r="D331" s="123"/>
      <c r="E331" s="100"/>
    </row>
    <row r="332" spans="2:5" ht="13.5" customHeight="1">
      <c r="B332" s="102"/>
      <c r="D332" s="123"/>
      <c r="E332" s="100"/>
    </row>
    <row r="333" spans="2:5" ht="13.5" customHeight="1">
      <c r="B333" s="102"/>
      <c r="D333" s="123"/>
      <c r="E333" s="100"/>
    </row>
    <row r="334" spans="2:5" ht="13.5" customHeight="1">
      <c r="B334" s="102"/>
      <c r="D334" s="123"/>
      <c r="E334" s="100"/>
    </row>
    <row r="335" spans="2:5" ht="13.5" customHeight="1">
      <c r="B335" s="102"/>
      <c r="D335" s="123"/>
      <c r="E335" s="100"/>
    </row>
    <row r="336" spans="2:5" ht="13.5" customHeight="1">
      <c r="B336" s="102"/>
      <c r="D336" s="123"/>
      <c r="E336" s="100"/>
    </row>
    <row r="337" spans="2:5" ht="13.5" customHeight="1">
      <c r="B337" s="102"/>
      <c r="D337" s="123"/>
      <c r="E337" s="100"/>
    </row>
    <row r="338" spans="2:5" ht="13.5" customHeight="1">
      <c r="B338" s="102"/>
      <c r="D338" s="123"/>
      <c r="E338" s="100"/>
    </row>
    <row r="339" spans="2:5" ht="13.5" customHeight="1">
      <c r="B339" s="102"/>
      <c r="D339" s="123"/>
      <c r="E339" s="100"/>
    </row>
    <row r="340" spans="2:5" ht="13.5" customHeight="1">
      <c r="B340" s="102"/>
      <c r="D340" s="123"/>
      <c r="E340" s="100"/>
    </row>
    <row r="341" spans="2:5" ht="13.5" customHeight="1">
      <c r="B341" s="102"/>
      <c r="D341" s="123"/>
      <c r="E341" s="100"/>
    </row>
    <row r="342" spans="2:5" ht="13.5" customHeight="1">
      <c r="B342" s="102"/>
      <c r="D342" s="123"/>
      <c r="E342" s="100"/>
    </row>
    <row r="343" spans="2:5" ht="13.5" customHeight="1">
      <c r="B343" s="102"/>
      <c r="D343" s="123"/>
      <c r="E343" s="100"/>
    </row>
    <row r="344" spans="2:5" ht="13.5" customHeight="1">
      <c r="B344" s="102"/>
      <c r="D344" s="123"/>
      <c r="E344" s="100"/>
    </row>
    <row r="345" spans="2:5" ht="13.5" customHeight="1">
      <c r="B345" s="102"/>
      <c r="D345" s="123"/>
      <c r="E345" s="100"/>
    </row>
    <row r="346" spans="2:5" ht="13.5" customHeight="1">
      <c r="B346" s="102"/>
      <c r="D346" s="123"/>
      <c r="E346" s="100"/>
    </row>
    <row r="347" spans="2:5" ht="13.5" customHeight="1">
      <c r="B347" s="102"/>
      <c r="D347" s="123"/>
      <c r="E347" s="100"/>
    </row>
    <row r="348" spans="2:5" ht="13.5" customHeight="1">
      <c r="B348" s="102"/>
      <c r="D348" s="123"/>
      <c r="E348" s="100"/>
    </row>
    <row r="349" spans="2:5" ht="13.5" customHeight="1">
      <c r="B349" s="102"/>
      <c r="D349" s="123"/>
      <c r="E349" s="100"/>
    </row>
    <row r="350" spans="2:5" ht="13.5" customHeight="1">
      <c r="B350" s="102"/>
      <c r="D350" s="123"/>
      <c r="E350" s="100"/>
    </row>
    <row r="351" spans="2:5" ht="13.5" customHeight="1">
      <c r="B351" s="102"/>
      <c r="D351" s="123"/>
      <c r="E351" s="100"/>
    </row>
    <row r="352" spans="2:5" ht="13.5" customHeight="1">
      <c r="B352" s="102"/>
      <c r="D352" s="123"/>
      <c r="E352" s="100"/>
    </row>
    <row r="353" spans="2:5" ht="13.5" customHeight="1">
      <c r="B353" s="102"/>
      <c r="D353" s="123"/>
      <c r="E353" s="100"/>
    </row>
    <row r="354" spans="2:5" ht="13.5" customHeight="1">
      <c r="B354" s="102"/>
      <c r="D354" s="123"/>
      <c r="E354" s="100"/>
    </row>
    <row r="355" spans="2:5" ht="13.5" customHeight="1">
      <c r="B355" s="102"/>
      <c r="D355" s="123"/>
      <c r="E355" s="100"/>
    </row>
    <row r="356" spans="2:5" ht="13.5" customHeight="1">
      <c r="B356" s="102"/>
      <c r="D356" s="123"/>
      <c r="E356" s="100"/>
    </row>
    <row r="357" spans="2:5" ht="13.5" customHeight="1">
      <c r="B357" s="102"/>
      <c r="D357" s="123"/>
      <c r="E357" s="100"/>
    </row>
    <row r="358" spans="2:5" ht="13.5" customHeight="1">
      <c r="B358" s="102"/>
      <c r="D358" s="123"/>
      <c r="E358" s="100"/>
    </row>
    <row r="359" spans="2:5" ht="13.5" customHeight="1">
      <c r="B359" s="102"/>
      <c r="D359" s="123"/>
      <c r="E359" s="100"/>
    </row>
    <row r="360" spans="2:5" ht="13.5" customHeight="1">
      <c r="B360" s="102"/>
      <c r="D360" s="123"/>
      <c r="E360" s="100"/>
    </row>
    <row r="361" spans="2:5" ht="13.5" customHeight="1">
      <c r="B361" s="102"/>
      <c r="D361" s="123"/>
      <c r="E361" s="100"/>
    </row>
    <row r="362" spans="2:5" ht="13.5" customHeight="1">
      <c r="B362" s="102"/>
      <c r="D362" s="123"/>
      <c r="E362" s="100"/>
    </row>
    <row r="363" spans="2:5" ht="13.5" customHeight="1">
      <c r="B363" s="102"/>
      <c r="D363" s="123"/>
      <c r="E363" s="100"/>
    </row>
    <row r="364" spans="2:5" ht="13.5" customHeight="1">
      <c r="B364" s="102"/>
      <c r="D364" s="123"/>
      <c r="E364" s="100"/>
    </row>
    <row r="365" spans="2:5" ht="13.5" customHeight="1">
      <c r="B365" s="102"/>
      <c r="D365" s="123"/>
      <c r="E365" s="100"/>
    </row>
    <row r="366" spans="2:5" ht="13.5" customHeight="1">
      <c r="B366" s="102"/>
      <c r="D366" s="123"/>
      <c r="E366" s="100"/>
    </row>
    <row r="367" spans="2:5" ht="13.5" customHeight="1">
      <c r="B367" s="102"/>
      <c r="D367" s="123"/>
      <c r="E367" s="100"/>
    </row>
    <row r="368" spans="2:5" ht="13.5" customHeight="1">
      <c r="B368" s="102"/>
      <c r="D368" s="123"/>
      <c r="E368" s="100"/>
    </row>
    <row r="369" spans="2:5" ht="13.5" customHeight="1">
      <c r="B369" s="102"/>
      <c r="D369" s="123"/>
      <c r="E369" s="100"/>
    </row>
    <row r="370" spans="2:5" ht="13.5" customHeight="1">
      <c r="B370" s="102"/>
      <c r="D370" s="123"/>
      <c r="E370" s="100"/>
    </row>
    <row r="371" spans="2:5" ht="13.5" customHeight="1">
      <c r="B371" s="102"/>
      <c r="D371" s="123"/>
      <c r="E371" s="100"/>
    </row>
    <row r="372" spans="2:5" ht="13.5" customHeight="1">
      <c r="B372" s="102"/>
      <c r="D372" s="123"/>
      <c r="E372" s="100"/>
    </row>
    <row r="373" spans="2:5" ht="13.5" customHeight="1">
      <c r="B373" s="102"/>
      <c r="D373" s="123"/>
      <c r="E373" s="100"/>
    </row>
    <row r="374" spans="2:5" ht="13.5" customHeight="1">
      <c r="B374" s="102"/>
      <c r="D374" s="123"/>
      <c r="E374" s="100"/>
    </row>
    <row r="375" spans="2:5" ht="13.5" customHeight="1">
      <c r="B375" s="102"/>
      <c r="D375" s="123"/>
      <c r="E375" s="100"/>
    </row>
    <row r="376" spans="2:5" ht="13.5" customHeight="1">
      <c r="B376" s="102"/>
      <c r="D376" s="123"/>
      <c r="E376" s="100"/>
    </row>
    <row r="377" spans="2:5" ht="13.5" customHeight="1">
      <c r="B377" s="102"/>
      <c r="D377" s="123"/>
      <c r="E377" s="100"/>
    </row>
    <row r="378" spans="2:5" ht="13.5" customHeight="1">
      <c r="B378" s="102"/>
      <c r="D378" s="123"/>
      <c r="E378" s="100"/>
    </row>
    <row r="379" spans="2:5" ht="13.5" customHeight="1">
      <c r="B379" s="102"/>
      <c r="D379" s="123"/>
      <c r="E379" s="100"/>
    </row>
    <row r="380" spans="2:5" ht="13.5" customHeight="1">
      <c r="B380" s="102"/>
      <c r="D380" s="123"/>
      <c r="E380" s="100"/>
    </row>
    <row r="381" spans="2:5" ht="13.5" customHeight="1">
      <c r="B381" s="102"/>
      <c r="D381" s="123"/>
      <c r="E381" s="100"/>
    </row>
    <row r="382" spans="2:5" ht="13.5" customHeight="1">
      <c r="B382" s="102"/>
      <c r="D382" s="123"/>
      <c r="E382" s="100"/>
    </row>
    <row r="383" spans="2:5" ht="13.5" customHeight="1">
      <c r="B383" s="102"/>
      <c r="D383" s="123"/>
      <c r="E383" s="100"/>
    </row>
    <row r="384" spans="2:5" ht="13.5" customHeight="1">
      <c r="B384" s="102"/>
      <c r="D384" s="123"/>
      <c r="E384" s="100"/>
    </row>
    <row r="385" spans="2:5" ht="13.5" customHeight="1">
      <c r="B385" s="102"/>
      <c r="D385" s="123"/>
      <c r="E385" s="100"/>
    </row>
    <row r="386" spans="2:5" ht="13.5" customHeight="1">
      <c r="B386" s="102"/>
      <c r="D386" s="123"/>
      <c r="E386" s="100"/>
    </row>
    <row r="387" spans="2:5" ht="13.5" customHeight="1">
      <c r="B387" s="102"/>
      <c r="D387" s="123"/>
      <c r="E387" s="100"/>
    </row>
    <row r="388" spans="2:5" ht="13.5" customHeight="1">
      <c r="B388" s="102"/>
      <c r="D388" s="123"/>
      <c r="E388" s="100"/>
    </row>
    <row r="389" spans="2:5" ht="13.5" customHeight="1">
      <c r="B389" s="102"/>
      <c r="D389" s="123"/>
      <c r="E389" s="100"/>
    </row>
    <row r="390" spans="2:5" ht="13.5" customHeight="1">
      <c r="B390" s="102"/>
      <c r="D390" s="123"/>
      <c r="E390" s="100"/>
    </row>
    <row r="391" spans="2:5" ht="13.5" customHeight="1">
      <c r="B391" s="102"/>
      <c r="D391" s="123"/>
      <c r="E391" s="100"/>
    </row>
    <row r="392" spans="2:5" ht="13.5" customHeight="1">
      <c r="B392" s="102"/>
      <c r="D392" s="123"/>
      <c r="E392" s="100"/>
    </row>
    <row r="393" spans="2:5" ht="13.5" customHeight="1">
      <c r="B393" s="102"/>
      <c r="D393" s="123"/>
      <c r="E393" s="100"/>
    </row>
    <row r="394" spans="2:5" ht="13.5" customHeight="1">
      <c r="B394" s="102"/>
      <c r="D394" s="123"/>
      <c r="E394" s="100"/>
    </row>
    <row r="395" spans="2:5" ht="13.5" customHeight="1">
      <c r="B395" s="102"/>
      <c r="D395" s="123"/>
      <c r="E395" s="100"/>
    </row>
    <row r="396" spans="2:5" ht="13.5" customHeight="1">
      <c r="B396" s="102"/>
      <c r="D396" s="123"/>
      <c r="E396" s="100"/>
    </row>
    <row r="397" spans="2:5" ht="13.5" customHeight="1">
      <c r="B397" s="102"/>
      <c r="D397" s="123"/>
      <c r="E397" s="100"/>
    </row>
    <row r="398" spans="2:5" ht="13.5" customHeight="1">
      <c r="B398" s="102"/>
      <c r="D398" s="123"/>
      <c r="E398" s="100"/>
    </row>
    <row r="399" spans="2:5" ht="13.5" customHeight="1">
      <c r="B399" s="102"/>
      <c r="D399" s="123"/>
      <c r="E399" s="100"/>
    </row>
    <row r="400" spans="2:5" ht="13.5" customHeight="1">
      <c r="B400" s="102"/>
      <c r="D400" s="123"/>
      <c r="E400" s="100"/>
    </row>
    <row r="401" spans="2:5" ht="13.5" customHeight="1">
      <c r="B401" s="102"/>
      <c r="D401" s="123"/>
      <c r="E401" s="100"/>
    </row>
    <row r="402" spans="2:5" ht="13.5" customHeight="1">
      <c r="B402" s="102"/>
      <c r="D402" s="123"/>
      <c r="E402" s="100"/>
    </row>
    <row r="403" spans="2:5" ht="13.5" customHeight="1">
      <c r="B403" s="102"/>
      <c r="D403" s="123"/>
      <c r="E403" s="100"/>
    </row>
    <row r="404" spans="2:5" ht="13.5" customHeight="1">
      <c r="B404" s="102"/>
      <c r="D404" s="123"/>
      <c r="E404" s="100"/>
    </row>
    <row r="405" spans="2:5" ht="13.5" customHeight="1">
      <c r="B405" s="102"/>
      <c r="D405" s="123"/>
      <c r="E405" s="100"/>
    </row>
    <row r="406" spans="2:5" ht="13.5" customHeight="1">
      <c r="B406" s="102"/>
      <c r="D406" s="123"/>
      <c r="E406" s="100"/>
    </row>
    <row r="407" spans="2:5" ht="13.5" customHeight="1">
      <c r="B407" s="102"/>
      <c r="D407" s="123"/>
      <c r="E407" s="100"/>
    </row>
    <row r="408" spans="2:5" ht="13.5" customHeight="1">
      <c r="B408" s="102"/>
      <c r="D408" s="123"/>
      <c r="E408" s="100"/>
    </row>
    <row r="409" spans="2:5" ht="13.5" customHeight="1">
      <c r="B409" s="102"/>
      <c r="D409" s="123"/>
      <c r="E409" s="100"/>
    </row>
    <row r="410" spans="2:5" ht="13.5" customHeight="1">
      <c r="B410" s="102"/>
      <c r="D410" s="123"/>
      <c r="E410" s="100"/>
    </row>
    <row r="411" spans="2:5" ht="13.5" customHeight="1">
      <c r="B411" s="102"/>
      <c r="D411" s="123"/>
      <c r="E411" s="100"/>
    </row>
    <row r="412" spans="2:5" ht="13.5" customHeight="1">
      <c r="B412" s="102"/>
      <c r="D412" s="123"/>
      <c r="E412" s="100"/>
    </row>
    <row r="413" spans="2:5" ht="13.5" customHeight="1">
      <c r="B413" s="102"/>
      <c r="D413" s="123"/>
      <c r="E413" s="100"/>
    </row>
    <row r="414" spans="2:5" ht="13.5" customHeight="1">
      <c r="B414" s="102"/>
      <c r="D414" s="123"/>
      <c r="E414" s="100"/>
    </row>
    <row r="415" spans="2:5" ht="13.5" customHeight="1">
      <c r="B415" s="102"/>
      <c r="D415" s="123"/>
      <c r="E415" s="100"/>
    </row>
    <row r="416" spans="2:5" ht="13.5" customHeight="1">
      <c r="B416" s="102"/>
      <c r="D416" s="123"/>
      <c r="E416" s="100"/>
    </row>
    <row r="417" spans="2:5" ht="13.5" customHeight="1">
      <c r="B417" s="102"/>
      <c r="D417" s="123"/>
      <c r="E417" s="100"/>
    </row>
    <row r="418" spans="2:5" ht="13.5" customHeight="1">
      <c r="B418" s="102"/>
      <c r="D418" s="123"/>
      <c r="E418" s="100"/>
    </row>
    <row r="419" spans="2:5" ht="13.5" customHeight="1">
      <c r="B419" s="102"/>
      <c r="D419" s="123"/>
      <c r="E419" s="100"/>
    </row>
    <row r="420" spans="2:5" ht="13.5" customHeight="1">
      <c r="B420" s="102"/>
      <c r="D420" s="123"/>
      <c r="E420" s="100"/>
    </row>
    <row r="421" spans="2:5" ht="13.5" customHeight="1">
      <c r="B421" s="102"/>
      <c r="D421" s="123"/>
      <c r="E421" s="100"/>
    </row>
    <row r="422" spans="2:5" ht="13.5" customHeight="1">
      <c r="B422" s="102"/>
      <c r="D422" s="123"/>
      <c r="E422" s="100"/>
    </row>
    <row r="423" spans="2:5" ht="13.5" customHeight="1">
      <c r="B423" s="102"/>
      <c r="D423" s="123"/>
      <c r="E423" s="100"/>
    </row>
    <row r="424" spans="2:5" ht="13.5" customHeight="1">
      <c r="B424" s="102"/>
      <c r="D424" s="123"/>
      <c r="E424" s="100"/>
    </row>
    <row r="425" spans="2:5" ht="13.5" customHeight="1">
      <c r="B425" s="102"/>
      <c r="D425" s="123"/>
      <c r="E425" s="100"/>
    </row>
    <row r="426" spans="2:5" ht="13.5" customHeight="1">
      <c r="B426" s="102"/>
      <c r="D426" s="123"/>
      <c r="E426" s="100"/>
    </row>
    <row r="427" spans="2:5" ht="13.5" customHeight="1">
      <c r="B427" s="102"/>
      <c r="D427" s="123"/>
      <c r="E427" s="100"/>
    </row>
    <row r="428" spans="2:5" ht="13.5" customHeight="1">
      <c r="B428" s="102"/>
      <c r="D428" s="123"/>
      <c r="E428" s="100"/>
    </row>
    <row r="429" spans="2:5" ht="13.5" customHeight="1">
      <c r="B429" s="102"/>
      <c r="D429" s="123"/>
      <c r="E429" s="100"/>
    </row>
    <row r="430" spans="2:5" ht="13.5" customHeight="1">
      <c r="B430" s="102"/>
      <c r="D430" s="123"/>
      <c r="E430" s="100"/>
    </row>
    <row r="431" spans="2:5" ht="13.5" customHeight="1">
      <c r="B431" s="102"/>
      <c r="D431" s="123"/>
      <c r="E431" s="100"/>
    </row>
    <row r="432" spans="2:5" ht="13.5" customHeight="1">
      <c r="B432" s="102"/>
      <c r="D432" s="123"/>
      <c r="E432" s="100"/>
    </row>
    <row r="433" spans="2:5" ht="13.5" customHeight="1">
      <c r="B433" s="102"/>
      <c r="D433" s="123"/>
      <c r="E433" s="100"/>
    </row>
    <row r="434" spans="2:5" ht="13.5" customHeight="1">
      <c r="B434" s="102"/>
      <c r="D434" s="123"/>
      <c r="E434" s="100"/>
    </row>
    <row r="435" spans="2:5" ht="13.5" customHeight="1">
      <c r="B435" s="102"/>
      <c r="D435" s="123"/>
      <c r="E435" s="100"/>
    </row>
    <row r="436" spans="2:5" ht="13.5" customHeight="1">
      <c r="B436" s="102"/>
      <c r="D436" s="123"/>
      <c r="E436" s="100"/>
    </row>
    <row r="437" spans="2:5" ht="13.5" customHeight="1">
      <c r="B437" s="102"/>
      <c r="D437" s="123"/>
      <c r="E437" s="100"/>
    </row>
    <row r="438" spans="2:5" ht="13.5" customHeight="1">
      <c r="B438" s="102"/>
      <c r="D438" s="123"/>
      <c r="E438" s="100"/>
    </row>
    <row r="439" spans="2:5" ht="13.5" customHeight="1">
      <c r="B439" s="102"/>
      <c r="D439" s="123"/>
      <c r="E439" s="100"/>
    </row>
    <row r="440" spans="2:5" ht="13.5" customHeight="1">
      <c r="B440" s="102"/>
      <c r="D440" s="123"/>
      <c r="E440" s="100"/>
    </row>
    <row r="441" spans="2:5" ht="13.5" customHeight="1">
      <c r="B441" s="102"/>
      <c r="D441" s="123"/>
      <c r="E441" s="100"/>
    </row>
    <row r="442" spans="2:5" ht="13.5" customHeight="1">
      <c r="B442" s="102"/>
      <c r="D442" s="123"/>
      <c r="E442" s="100"/>
    </row>
    <row r="443" spans="2:5" ht="13.5" customHeight="1">
      <c r="B443" s="102"/>
      <c r="D443" s="123"/>
      <c r="E443" s="100"/>
    </row>
    <row r="444" spans="2:5" ht="13.5" customHeight="1">
      <c r="B444" s="102"/>
      <c r="D444" s="123"/>
      <c r="E444" s="100"/>
    </row>
    <row r="445" spans="2:5" ht="13.5" customHeight="1">
      <c r="B445" s="102"/>
      <c r="D445" s="123"/>
      <c r="E445" s="100"/>
    </row>
    <row r="446" spans="2:5" ht="13.5" customHeight="1">
      <c r="B446" s="102"/>
      <c r="D446" s="123"/>
      <c r="E446" s="100"/>
    </row>
    <row r="447" spans="2:5" ht="13.5" customHeight="1">
      <c r="B447" s="102"/>
      <c r="D447" s="123"/>
      <c r="E447" s="100"/>
    </row>
    <row r="448" spans="2:5" ht="13.5" customHeight="1">
      <c r="B448" s="102"/>
      <c r="D448" s="123"/>
      <c r="E448" s="100"/>
    </row>
    <row r="449" spans="2:5" ht="13.5" customHeight="1">
      <c r="B449" s="102"/>
      <c r="D449" s="123"/>
      <c r="E449" s="100"/>
    </row>
    <row r="450" spans="2:5" ht="13.5" customHeight="1">
      <c r="B450" s="102"/>
      <c r="D450" s="123"/>
      <c r="E450" s="100"/>
    </row>
    <row r="451" spans="2:5" ht="13.5" customHeight="1">
      <c r="B451" s="102"/>
      <c r="D451" s="123"/>
      <c r="E451" s="100"/>
    </row>
    <row r="452" spans="2:5" ht="13.5" customHeight="1">
      <c r="B452" s="102"/>
      <c r="D452" s="123"/>
      <c r="E452" s="100"/>
    </row>
    <row r="453" spans="2:5" ht="13.5" customHeight="1">
      <c r="B453" s="102"/>
      <c r="D453" s="123"/>
      <c r="E453" s="100"/>
    </row>
    <row r="454" spans="2:5" ht="13.5" customHeight="1">
      <c r="B454" s="102"/>
      <c r="D454" s="123"/>
      <c r="E454" s="100"/>
    </row>
    <row r="455" spans="2:5" ht="13.5" customHeight="1">
      <c r="B455" s="102"/>
      <c r="D455" s="123"/>
      <c r="E455" s="100"/>
    </row>
    <row r="456" spans="2:5" ht="13.5" customHeight="1">
      <c r="B456" s="102"/>
      <c r="D456" s="123"/>
      <c r="E456" s="100"/>
    </row>
    <row r="457" spans="2:5" ht="13.5" customHeight="1">
      <c r="B457" s="102"/>
      <c r="D457" s="123"/>
      <c r="E457" s="100"/>
    </row>
    <row r="458" spans="2:5" ht="13.5" customHeight="1">
      <c r="B458" s="102"/>
      <c r="D458" s="123"/>
      <c r="E458" s="100"/>
    </row>
    <row r="459" spans="2:5" ht="13.5" customHeight="1">
      <c r="B459" s="102"/>
      <c r="D459" s="123"/>
      <c r="E459" s="100"/>
    </row>
    <row r="460" spans="2:5" ht="13.5" customHeight="1">
      <c r="B460" s="102"/>
      <c r="D460" s="123"/>
      <c r="E460" s="100"/>
    </row>
    <row r="461" spans="2:5" ht="13.5" customHeight="1">
      <c r="B461" s="102"/>
      <c r="D461" s="123"/>
      <c r="E461" s="100"/>
    </row>
    <row r="462" spans="2:5" ht="13.5" customHeight="1">
      <c r="B462" s="102"/>
      <c r="D462" s="123"/>
      <c r="E462" s="100"/>
    </row>
    <row r="463" spans="2:5" ht="13.5" customHeight="1">
      <c r="B463" s="102"/>
      <c r="D463" s="123"/>
      <c r="E463" s="100"/>
    </row>
    <row r="464" spans="2:5" ht="13.5" customHeight="1">
      <c r="B464" s="102"/>
      <c r="D464" s="123"/>
      <c r="E464" s="100"/>
    </row>
    <row r="465" spans="2:5" ht="13.5" customHeight="1">
      <c r="B465" s="102"/>
      <c r="D465" s="123"/>
      <c r="E465" s="100"/>
    </row>
    <row r="466" spans="2:5" ht="13.5" customHeight="1">
      <c r="B466" s="102"/>
      <c r="D466" s="123"/>
      <c r="E466" s="100"/>
    </row>
    <row r="467" spans="2:5" ht="13.5" customHeight="1">
      <c r="B467" s="102"/>
      <c r="D467" s="123"/>
      <c r="E467" s="100"/>
    </row>
    <row r="468" spans="2:5" ht="13.5" customHeight="1">
      <c r="B468" s="102"/>
      <c r="D468" s="123"/>
      <c r="E468" s="100"/>
    </row>
    <row r="469" spans="2:5" ht="13.5" customHeight="1">
      <c r="B469" s="102"/>
      <c r="D469" s="123"/>
      <c r="E469" s="100"/>
    </row>
    <row r="470" spans="2:5" ht="13.5" customHeight="1">
      <c r="B470" s="102"/>
      <c r="D470" s="123"/>
      <c r="E470" s="100"/>
    </row>
    <row r="471" spans="2:5" ht="13.5" customHeight="1">
      <c r="B471" s="102"/>
      <c r="D471" s="123"/>
      <c r="E471" s="100"/>
    </row>
    <row r="472" spans="2:5" ht="13.5" customHeight="1">
      <c r="B472" s="102"/>
      <c r="D472" s="123"/>
      <c r="E472" s="100"/>
    </row>
    <row r="473" spans="2:5" ht="13.5" customHeight="1">
      <c r="B473" s="102"/>
      <c r="D473" s="123"/>
      <c r="E473" s="100"/>
    </row>
    <row r="474" spans="2:5" ht="13.5" customHeight="1">
      <c r="B474" s="102"/>
      <c r="D474" s="123"/>
      <c r="E474" s="100"/>
    </row>
    <row r="475" spans="2:5" ht="13.5" customHeight="1">
      <c r="B475" s="102"/>
      <c r="D475" s="123"/>
      <c r="E475" s="100"/>
    </row>
    <row r="476" spans="2:5" ht="13.5" customHeight="1">
      <c r="B476" s="102"/>
      <c r="D476" s="123"/>
      <c r="E476" s="100"/>
    </row>
    <row r="477" spans="2:5" ht="13.5" customHeight="1">
      <c r="B477" s="102"/>
      <c r="D477" s="123"/>
      <c r="E477" s="100"/>
    </row>
    <row r="478" spans="2:5" ht="13.5" customHeight="1">
      <c r="B478" s="102"/>
      <c r="D478" s="123"/>
      <c r="E478" s="100"/>
    </row>
    <row r="479" spans="2:5" ht="13.5" customHeight="1">
      <c r="B479" s="102"/>
      <c r="D479" s="123"/>
      <c r="E479" s="100"/>
    </row>
    <row r="480" spans="2:5" ht="13.5" customHeight="1">
      <c r="B480" s="102"/>
      <c r="D480" s="123"/>
      <c r="E480" s="100"/>
    </row>
    <row r="481" spans="2:5" ht="13.5" customHeight="1">
      <c r="B481" s="102"/>
      <c r="D481" s="123"/>
      <c r="E481" s="100"/>
    </row>
    <row r="482" spans="2:5" ht="13.5" customHeight="1">
      <c r="B482" s="102"/>
      <c r="D482" s="123"/>
      <c r="E482" s="100"/>
    </row>
    <row r="483" spans="2:5" ht="13.5" customHeight="1">
      <c r="B483" s="102"/>
      <c r="D483" s="123"/>
      <c r="E483" s="100"/>
    </row>
    <row r="484" spans="2:5" ht="13.5" customHeight="1">
      <c r="B484" s="102"/>
      <c r="D484" s="123"/>
      <c r="E484" s="100"/>
    </row>
    <row r="485" spans="2:5" ht="13.5" customHeight="1">
      <c r="B485" s="102"/>
      <c r="D485" s="123"/>
      <c r="E485" s="100"/>
    </row>
    <row r="486" spans="2:5" ht="13.5" customHeight="1">
      <c r="B486" s="102"/>
      <c r="D486" s="123"/>
      <c r="E486" s="100"/>
    </row>
    <row r="487" spans="2:5" ht="13.5" customHeight="1">
      <c r="B487" s="102"/>
      <c r="D487" s="123"/>
      <c r="E487" s="100"/>
    </row>
    <row r="488" spans="2:5" ht="13.5" customHeight="1">
      <c r="B488" s="102"/>
      <c r="D488" s="123"/>
      <c r="E488" s="100"/>
    </row>
    <row r="489" spans="2:5" ht="13.5" customHeight="1">
      <c r="B489" s="102"/>
      <c r="D489" s="123"/>
      <c r="E489" s="100"/>
    </row>
    <row r="490" spans="2:5" ht="13.5" customHeight="1">
      <c r="B490" s="102"/>
      <c r="D490" s="123"/>
      <c r="E490" s="100"/>
    </row>
    <row r="491" spans="2:5" ht="13.5" customHeight="1">
      <c r="B491" s="102"/>
      <c r="D491" s="123"/>
      <c r="E491" s="100"/>
    </row>
    <row r="492" spans="2:5" ht="13.5" customHeight="1">
      <c r="B492" s="102"/>
      <c r="D492" s="123"/>
      <c r="E492" s="100"/>
    </row>
    <row r="493" spans="2:5" ht="13.5" customHeight="1">
      <c r="B493" s="102"/>
      <c r="D493" s="123"/>
      <c r="E493" s="100"/>
    </row>
    <row r="494" spans="2:5" ht="13.5" customHeight="1">
      <c r="B494" s="102"/>
      <c r="D494" s="123"/>
      <c r="E494" s="100"/>
    </row>
    <row r="495" spans="2:5" ht="13.5" customHeight="1">
      <c r="B495" s="102"/>
      <c r="D495" s="123"/>
      <c r="E495" s="100"/>
    </row>
    <row r="496" spans="2:5" ht="13.5" customHeight="1">
      <c r="B496" s="102"/>
      <c r="D496" s="123"/>
      <c r="E496" s="100"/>
    </row>
    <row r="497" spans="2:5" ht="13.5" customHeight="1">
      <c r="B497" s="102"/>
      <c r="D497" s="123"/>
      <c r="E497" s="100"/>
    </row>
    <row r="498" spans="2:5" ht="13.5" customHeight="1">
      <c r="B498" s="102"/>
      <c r="D498" s="123"/>
      <c r="E498" s="100"/>
    </row>
    <row r="499" spans="2:5" ht="13.5" customHeight="1">
      <c r="B499" s="102"/>
      <c r="D499" s="123"/>
      <c r="E499" s="100"/>
    </row>
    <row r="500" spans="2:5" ht="13.5" customHeight="1">
      <c r="B500" s="102"/>
      <c r="D500" s="123"/>
      <c r="E500" s="100"/>
    </row>
    <row r="501" spans="2:5" ht="13.5" customHeight="1">
      <c r="B501" s="102"/>
      <c r="D501" s="123"/>
      <c r="E501" s="100"/>
    </row>
    <row r="502" spans="2:5" ht="13.5" customHeight="1">
      <c r="B502" s="102"/>
      <c r="D502" s="123"/>
      <c r="E502" s="100"/>
    </row>
    <row r="503" spans="2:5" ht="13.5" customHeight="1">
      <c r="B503" s="102"/>
      <c r="D503" s="123"/>
      <c r="E503" s="100"/>
    </row>
    <row r="504" spans="2:5" ht="13.5" customHeight="1">
      <c r="B504" s="102"/>
      <c r="D504" s="123"/>
      <c r="E504" s="100"/>
    </row>
    <row r="505" spans="2:5" ht="13.5" customHeight="1">
      <c r="B505" s="102"/>
      <c r="D505" s="123"/>
      <c r="E505" s="100"/>
    </row>
    <row r="506" spans="2:5" ht="13.5" customHeight="1">
      <c r="B506" s="102"/>
      <c r="D506" s="123"/>
      <c r="E506" s="100"/>
    </row>
    <row r="507" spans="2:5" ht="13.5" customHeight="1">
      <c r="B507" s="102"/>
      <c r="D507" s="123"/>
      <c r="E507" s="100"/>
    </row>
    <row r="508" spans="2:5" ht="13.5" customHeight="1">
      <c r="B508" s="102"/>
      <c r="D508" s="123"/>
      <c r="E508" s="100"/>
    </row>
    <row r="509" spans="2:5" ht="13.5" customHeight="1">
      <c r="B509" s="102"/>
      <c r="D509" s="123"/>
      <c r="E509" s="100"/>
    </row>
    <row r="510" spans="2:5" ht="13.5" customHeight="1">
      <c r="B510" s="102"/>
      <c r="D510" s="123"/>
      <c r="E510" s="100"/>
    </row>
    <row r="511" spans="2:5" ht="13.5" customHeight="1">
      <c r="B511" s="102"/>
      <c r="D511" s="123"/>
      <c r="E511" s="100"/>
    </row>
    <row r="512" spans="2:5" ht="13.5" customHeight="1">
      <c r="B512" s="102"/>
      <c r="D512" s="123"/>
      <c r="E512" s="100"/>
    </row>
    <row r="513" spans="2:5" ht="13.5" customHeight="1">
      <c r="B513" s="102"/>
      <c r="D513" s="123"/>
      <c r="E513" s="100"/>
    </row>
    <row r="514" spans="2:5" ht="13.5" customHeight="1">
      <c r="B514" s="102"/>
      <c r="D514" s="123"/>
      <c r="E514" s="100"/>
    </row>
    <row r="515" spans="2:5" ht="13.5" customHeight="1">
      <c r="B515" s="102"/>
      <c r="D515" s="123"/>
      <c r="E515" s="100"/>
    </row>
    <row r="516" spans="2:5" ht="13.5" customHeight="1">
      <c r="B516" s="102"/>
      <c r="D516" s="123"/>
      <c r="E516" s="100"/>
    </row>
    <row r="517" spans="2:5" ht="13.5" customHeight="1">
      <c r="B517" s="102"/>
      <c r="D517" s="123"/>
      <c r="E517" s="100"/>
    </row>
    <row r="518" spans="2:5" ht="13.5" customHeight="1">
      <c r="B518" s="102"/>
      <c r="D518" s="123"/>
      <c r="E518" s="100"/>
    </row>
    <row r="519" spans="2:5" ht="13.5" customHeight="1">
      <c r="B519" s="102"/>
      <c r="D519" s="123"/>
      <c r="E519" s="100"/>
    </row>
    <row r="520" spans="2:5" ht="13.5" customHeight="1">
      <c r="B520" s="102"/>
      <c r="D520" s="123"/>
      <c r="E520" s="100"/>
    </row>
    <row r="521" spans="2:5" ht="13.5" customHeight="1">
      <c r="B521" s="102"/>
      <c r="D521" s="123"/>
      <c r="E521" s="100"/>
    </row>
    <row r="522" spans="2:5" ht="13.5" customHeight="1">
      <c r="B522" s="102"/>
      <c r="D522" s="123"/>
      <c r="E522" s="100"/>
    </row>
    <row r="523" spans="2:5" ht="13.5" customHeight="1">
      <c r="B523" s="102"/>
      <c r="D523" s="123"/>
      <c r="E523" s="100"/>
    </row>
    <row r="524" spans="2:5" ht="13.5" customHeight="1">
      <c r="B524" s="102"/>
      <c r="D524" s="123"/>
      <c r="E524" s="100"/>
    </row>
    <row r="525" spans="2:5" ht="13.5" customHeight="1">
      <c r="B525" s="102"/>
      <c r="D525" s="123"/>
      <c r="E525" s="100"/>
    </row>
    <row r="526" spans="2:5" ht="13.5" customHeight="1">
      <c r="B526" s="102"/>
      <c r="D526" s="123"/>
      <c r="E526" s="100"/>
    </row>
    <row r="527" spans="2:5" ht="13.5" customHeight="1">
      <c r="B527" s="102"/>
      <c r="D527" s="123"/>
      <c r="E527" s="100"/>
    </row>
    <row r="528" spans="2:5" ht="13.5" customHeight="1">
      <c r="B528" s="102"/>
      <c r="D528" s="123"/>
      <c r="E528" s="100"/>
    </row>
    <row r="529" spans="2:5" ht="13.5" customHeight="1">
      <c r="B529" s="102"/>
      <c r="D529" s="123"/>
      <c r="E529" s="100"/>
    </row>
    <row r="530" spans="2:5" ht="13.5" customHeight="1">
      <c r="B530" s="102"/>
      <c r="D530" s="123"/>
      <c r="E530" s="100"/>
    </row>
    <row r="531" spans="2:5" ht="13.5" customHeight="1">
      <c r="B531" s="102"/>
      <c r="D531" s="123"/>
      <c r="E531" s="100"/>
    </row>
    <row r="532" spans="2:5" ht="13.5" customHeight="1">
      <c r="B532" s="102"/>
      <c r="D532" s="123"/>
      <c r="E532" s="100"/>
    </row>
    <row r="533" spans="2:5" ht="13.5" customHeight="1">
      <c r="B533" s="102"/>
      <c r="D533" s="123"/>
      <c r="E533" s="100"/>
    </row>
    <row r="534" spans="2:5" ht="13.5" customHeight="1">
      <c r="B534" s="102"/>
      <c r="D534" s="123"/>
      <c r="E534" s="100"/>
    </row>
    <row r="535" spans="2:5" ht="13.5" customHeight="1">
      <c r="B535" s="102"/>
      <c r="D535" s="123"/>
      <c r="E535" s="100"/>
    </row>
    <row r="536" spans="2:5" ht="13.5" customHeight="1">
      <c r="B536" s="102"/>
      <c r="D536" s="123"/>
      <c r="E536" s="100"/>
    </row>
    <row r="537" spans="2:5" ht="13.5" customHeight="1">
      <c r="B537" s="102"/>
      <c r="D537" s="123"/>
      <c r="E537" s="100"/>
    </row>
    <row r="538" spans="2:5" ht="13.5" customHeight="1">
      <c r="B538" s="102"/>
      <c r="D538" s="123"/>
      <c r="E538" s="100"/>
    </row>
    <row r="539" spans="2:5" ht="13.5" customHeight="1">
      <c r="B539" s="102"/>
      <c r="D539" s="123"/>
      <c r="E539" s="100"/>
    </row>
    <row r="540" spans="2:5" ht="13.5" customHeight="1">
      <c r="B540" s="102"/>
      <c r="D540" s="123"/>
      <c r="E540" s="100"/>
    </row>
    <row r="541" spans="2:5" ht="13.5" customHeight="1">
      <c r="B541" s="102"/>
      <c r="D541" s="123"/>
      <c r="E541" s="100"/>
    </row>
    <row r="542" spans="2:5" ht="13.5" customHeight="1">
      <c r="B542" s="102"/>
      <c r="D542" s="123"/>
      <c r="E542" s="100"/>
    </row>
    <row r="543" spans="2:5" ht="13.5" customHeight="1">
      <c r="B543" s="102"/>
      <c r="D543" s="123"/>
      <c r="E543" s="100"/>
    </row>
    <row r="544" spans="2:5" ht="13.5" customHeight="1">
      <c r="B544" s="102"/>
      <c r="D544" s="123"/>
      <c r="E544" s="100"/>
    </row>
    <row r="545" spans="2:5" ht="13.5" customHeight="1">
      <c r="B545" s="102"/>
      <c r="D545" s="123"/>
      <c r="E545" s="100"/>
    </row>
    <row r="546" spans="2:5" ht="13.5" customHeight="1">
      <c r="B546" s="102"/>
      <c r="D546" s="123"/>
      <c r="E546" s="100"/>
    </row>
    <row r="547" spans="2:5" ht="13.5" customHeight="1">
      <c r="B547" s="102"/>
      <c r="D547" s="123"/>
      <c r="E547" s="100"/>
    </row>
    <row r="548" spans="2:5" ht="13.5" customHeight="1">
      <c r="B548" s="102"/>
      <c r="D548" s="123"/>
      <c r="E548" s="100"/>
    </row>
    <row r="549" spans="2:5" ht="13.5" customHeight="1">
      <c r="B549" s="102"/>
      <c r="D549" s="123"/>
      <c r="E549" s="100"/>
    </row>
    <row r="550" spans="2:5" ht="13.5" customHeight="1">
      <c r="B550" s="102"/>
      <c r="D550" s="123"/>
      <c r="E550" s="100"/>
    </row>
    <row r="551" spans="2:5" ht="13.5" customHeight="1">
      <c r="B551" s="102"/>
      <c r="D551" s="123"/>
      <c r="E551" s="100"/>
    </row>
    <row r="552" spans="2:5" ht="13.5" customHeight="1">
      <c r="B552" s="102"/>
      <c r="D552" s="123"/>
      <c r="E552" s="100"/>
    </row>
    <row r="553" spans="2:5" ht="13.5" customHeight="1">
      <c r="B553" s="102"/>
      <c r="D553" s="123"/>
      <c r="E553" s="100"/>
    </row>
    <row r="554" spans="2:5" ht="13.5" customHeight="1">
      <c r="B554" s="102"/>
      <c r="D554" s="123"/>
      <c r="E554" s="100"/>
    </row>
    <row r="555" spans="2:5" ht="13.5" customHeight="1">
      <c r="B555" s="102"/>
      <c r="D555" s="123"/>
      <c r="E555" s="100"/>
    </row>
    <row r="556" spans="2:5" ht="13.5" customHeight="1">
      <c r="B556" s="102"/>
      <c r="D556" s="123"/>
      <c r="E556" s="100"/>
    </row>
    <row r="557" spans="2:5" ht="13.5" customHeight="1">
      <c r="B557" s="102"/>
      <c r="D557" s="123"/>
      <c r="E557" s="100"/>
    </row>
    <row r="558" spans="2:5" ht="13.5" customHeight="1">
      <c r="B558" s="102"/>
      <c r="D558" s="123"/>
      <c r="E558" s="100"/>
    </row>
    <row r="559" spans="2:5" ht="13.5" customHeight="1">
      <c r="B559" s="102"/>
      <c r="D559" s="123"/>
      <c r="E559" s="100"/>
    </row>
    <row r="560" spans="2:5" ht="13.5" customHeight="1">
      <c r="B560" s="102"/>
      <c r="D560" s="123"/>
      <c r="E560" s="100"/>
    </row>
    <row r="561" spans="2:5" ht="13.5" customHeight="1">
      <c r="B561" s="102"/>
      <c r="D561" s="123"/>
      <c r="E561" s="100"/>
    </row>
    <row r="562" spans="2:5" ht="13.5" customHeight="1">
      <c r="B562" s="102"/>
      <c r="D562" s="123"/>
      <c r="E562" s="100"/>
    </row>
    <row r="563" spans="2:5" ht="13.5" customHeight="1">
      <c r="B563" s="102"/>
      <c r="D563" s="123"/>
      <c r="E563" s="100"/>
    </row>
    <row r="564" spans="2:5" ht="13.5" customHeight="1">
      <c r="B564" s="102"/>
      <c r="D564" s="123"/>
      <c r="E564" s="100"/>
    </row>
    <row r="565" spans="2:5" ht="13.5" customHeight="1">
      <c r="B565" s="102"/>
      <c r="D565" s="123"/>
      <c r="E565" s="100"/>
    </row>
    <row r="566" spans="2:5" ht="13.5" customHeight="1">
      <c r="B566" s="102"/>
      <c r="D566" s="123"/>
      <c r="E566" s="100"/>
    </row>
    <row r="567" spans="2:5" ht="13.5" customHeight="1">
      <c r="B567" s="102"/>
      <c r="D567" s="123"/>
      <c r="E567" s="100"/>
    </row>
    <row r="568" spans="2:5" ht="13.5" customHeight="1">
      <c r="B568" s="102"/>
      <c r="D568" s="123"/>
      <c r="E568" s="100"/>
    </row>
    <row r="569" spans="2:5" ht="13.5" customHeight="1">
      <c r="B569" s="102"/>
      <c r="D569" s="123"/>
      <c r="E569" s="100"/>
    </row>
    <row r="570" spans="2:5" ht="13.5" customHeight="1">
      <c r="B570" s="102"/>
      <c r="D570" s="123"/>
      <c r="E570" s="100"/>
    </row>
    <row r="571" spans="2:5" ht="13.5" customHeight="1">
      <c r="B571" s="102"/>
      <c r="D571" s="123"/>
      <c r="E571" s="100"/>
    </row>
    <row r="572" spans="2:5" ht="13.5" customHeight="1">
      <c r="B572" s="102"/>
      <c r="D572" s="123"/>
      <c r="E572" s="100"/>
    </row>
    <row r="573" spans="2:5" ht="13.5" customHeight="1">
      <c r="B573" s="102"/>
      <c r="D573" s="123"/>
      <c r="E573" s="100"/>
    </row>
    <row r="574" spans="2:5" ht="13.5" customHeight="1">
      <c r="B574" s="102"/>
      <c r="D574" s="123"/>
      <c r="E574" s="100"/>
    </row>
    <row r="575" spans="2:5" ht="13.5" customHeight="1">
      <c r="B575" s="102"/>
      <c r="D575" s="123"/>
      <c r="E575" s="100"/>
    </row>
    <row r="576" spans="2:5" ht="13.5" customHeight="1">
      <c r="B576" s="102"/>
      <c r="D576" s="123"/>
      <c r="E576" s="100"/>
    </row>
    <row r="577" spans="2:5" ht="13.5" customHeight="1">
      <c r="B577" s="102"/>
      <c r="D577" s="123"/>
      <c r="E577" s="100"/>
    </row>
    <row r="578" spans="2:5" ht="13.5" customHeight="1">
      <c r="B578" s="102"/>
      <c r="D578" s="123"/>
      <c r="E578" s="100"/>
    </row>
    <row r="579" spans="2:5" ht="13.5" customHeight="1">
      <c r="B579" s="102"/>
      <c r="D579" s="123"/>
      <c r="E579" s="100"/>
    </row>
    <row r="580" spans="2:5" ht="13.5" customHeight="1">
      <c r="B580" s="102"/>
      <c r="D580" s="123"/>
      <c r="E580" s="100"/>
    </row>
    <row r="581" spans="2:5" ht="13.5" customHeight="1">
      <c r="B581" s="102"/>
      <c r="D581" s="123"/>
      <c r="E581" s="100"/>
    </row>
    <row r="582" spans="2:5" ht="13.5" customHeight="1">
      <c r="B582" s="102"/>
      <c r="D582" s="123"/>
      <c r="E582" s="100"/>
    </row>
    <row r="583" spans="2:5" ht="13.5" customHeight="1">
      <c r="B583" s="102"/>
      <c r="D583" s="123"/>
      <c r="E583" s="100"/>
    </row>
    <row r="584" spans="2:5" ht="13.5" customHeight="1">
      <c r="B584" s="102"/>
      <c r="D584" s="123"/>
      <c r="E584" s="100"/>
    </row>
    <row r="585" spans="2:5" ht="13.5" customHeight="1">
      <c r="B585" s="102"/>
      <c r="D585" s="123"/>
      <c r="E585" s="100"/>
    </row>
    <row r="586" spans="2:5" ht="13.5" customHeight="1">
      <c r="B586" s="102"/>
      <c r="D586" s="123"/>
      <c r="E586" s="100"/>
    </row>
    <row r="587" spans="2:5" ht="13.5" customHeight="1">
      <c r="B587" s="102"/>
      <c r="D587" s="123"/>
      <c r="E587" s="100"/>
    </row>
    <row r="588" spans="2:5" ht="13.5" customHeight="1">
      <c r="B588" s="102"/>
      <c r="D588" s="123"/>
      <c r="E588" s="100"/>
    </row>
    <row r="589" spans="2:5" ht="13.5" customHeight="1">
      <c r="B589" s="102"/>
      <c r="D589" s="123"/>
      <c r="E589" s="100"/>
    </row>
    <row r="590" spans="2:5" ht="13.5" customHeight="1">
      <c r="B590" s="102"/>
      <c r="D590" s="123"/>
      <c r="E590" s="100"/>
    </row>
    <row r="591" spans="2:5" ht="13.5" customHeight="1">
      <c r="B591" s="102"/>
      <c r="D591" s="123"/>
      <c r="E591" s="100"/>
    </row>
    <row r="592" spans="2:5" ht="13.5" customHeight="1">
      <c r="B592" s="102"/>
      <c r="D592" s="123"/>
      <c r="E592" s="100"/>
    </row>
    <row r="593" spans="2:5" ht="13.5" customHeight="1">
      <c r="B593" s="102"/>
      <c r="D593" s="123"/>
      <c r="E593" s="100"/>
    </row>
    <row r="594" spans="2:5" ht="13.5" customHeight="1">
      <c r="B594" s="102"/>
      <c r="D594" s="123"/>
      <c r="E594" s="100"/>
    </row>
    <row r="595" spans="2:5" ht="13.5" customHeight="1">
      <c r="B595" s="102"/>
      <c r="D595" s="123"/>
      <c r="E595" s="100"/>
    </row>
    <row r="596" spans="2:5" ht="13.5" customHeight="1">
      <c r="B596" s="102"/>
      <c r="D596" s="123"/>
      <c r="E596" s="100"/>
    </row>
    <row r="597" spans="2:5" ht="13.5" customHeight="1">
      <c r="B597" s="102"/>
      <c r="D597" s="123"/>
      <c r="E597" s="100"/>
    </row>
    <row r="598" spans="2:5" ht="13.5" customHeight="1">
      <c r="B598" s="102"/>
      <c r="D598" s="123"/>
      <c r="E598" s="100"/>
    </row>
    <row r="599" spans="2:5" ht="13.5" customHeight="1">
      <c r="B599" s="102"/>
      <c r="D599" s="123"/>
      <c r="E599" s="100"/>
    </row>
    <row r="600" spans="2:5" ht="13.5" customHeight="1">
      <c r="B600" s="102"/>
      <c r="D600" s="123"/>
      <c r="E600" s="100"/>
    </row>
    <row r="601" spans="2:5" ht="13.5" customHeight="1">
      <c r="B601" s="102"/>
      <c r="D601" s="123"/>
      <c r="E601" s="100"/>
    </row>
    <row r="602" spans="2:5" ht="13.5" customHeight="1">
      <c r="B602" s="102"/>
      <c r="D602" s="123"/>
      <c r="E602" s="100"/>
    </row>
    <row r="603" spans="2:5" ht="13.5" customHeight="1">
      <c r="B603" s="102"/>
      <c r="D603" s="123"/>
      <c r="E603" s="100"/>
    </row>
    <row r="604" spans="2:5" ht="13.5" customHeight="1">
      <c r="B604" s="102"/>
      <c r="D604" s="123"/>
      <c r="E604" s="100"/>
    </row>
    <row r="605" spans="2:5" ht="13.5" customHeight="1">
      <c r="B605" s="102"/>
      <c r="D605" s="123"/>
      <c r="E605" s="100"/>
    </row>
    <row r="606" spans="2:5" ht="13.5" customHeight="1">
      <c r="B606" s="102"/>
      <c r="D606" s="123"/>
      <c r="E606" s="100"/>
    </row>
    <row r="607" spans="2:5" ht="13.5" customHeight="1">
      <c r="B607" s="102"/>
      <c r="D607" s="123"/>
      <c r="E607" s="100"/>
    </row>
    <row r="608" spans="2:5" ht="13.5" customHeight="1">
      <c r="B608" s="102"/>
      <c r="D608" s="123"/>
      <c r="E608" s="100"/>
    </row>
    <row r="609" spans="2:5" ht="13.5" customHeight="1">
      <c r="B609" s="102"/>
      <c r="D609" s="123"/>
      <c r="E609" s="100"/>
    </row>
    <row r="610" spans="2:5" ht="13.5" customHeight="1">
      <c r="B610" s="102"/>
      <c r="D610" s="123"/>
      <c r="E610" s="100"/>
    </row>
    <row r="611" spans="2:5" ht="13.5" customHeight="1">
      <c r="B611" s="102"/>
      <c r="D611" s="123"/>
      <c r="E611" s="100"/>
    </row>
    <row r="612" spans="2:5" ht="13.5" customHeight="1">
      <c r="B612" s="102"/>
      <c r="D612" s="123"/>
      <c r="E612" s="100"/>
    </row>
    <row r="613" spans="2:5" ht="13.5" customHeight="1">
      <c r="B613" s="102"/>
      <c r="D613" s="123"/>
      <c r="E613" s="100"/>
    </row>
    <row r="614" spans="2:5" ht="13.5" customHeight="1">
      <c r="B614" s="102"/>
      <c r="D614" s="123"/>
      <c r="E614" s="100"/>
    </row>
    <row r="615" spans="2:5" ht="13.5" customHeight="1">
      <c r="B615" s="102"/>
      <c r="D615" s="123"/>
      <c r="E615" s="100"/>
    </row>
    <row r="616" spans="2:5" ht="13.5" customHeight="1">
      <c r="B616" s="102"/>
      <c r="D616" s="123"/>
      <c r="E616" s="100"/>
    </row>
    <row r="617" spans="2:5" ht="13.5" customHeight="1">
      <c r="B617" s="102"/>
      <c r="D617" s="123"/>
      <c r="E617" s="100"/>
    </row>
    <row r="618" spans="2:5" ht="13.5" customHeight="1">
      <c r="B618" s="102"/>
      <c r="D618" s="123"/>
      <c r="E618" s="100"/>
    </row>
    <row r="619" spans="2:5" ht="13.5" customHeight="1">
      <c r="B619" s="102"/>
      <c r="D619" s="123"/>
      <c r="E619" s="100"/>
    </row>
    <row r="620" spans="2:5" ht="13.5" customHeight="1">
      <c r="B620" s="102"/>
      <c r="D620" s="123"/>
      <c r="E620" s="100"/>
    </row>
    <row r="621" spans="2:5" ht="13.5" customHeight="1">
      <c r="B621" s="102"/>
      <c r="D621" s="123"/>
      <c r="E621" s="100"/>
    </row>
    <row r="622" spans="2:5" ht="13.5" customHeight="1">
      <c r="B622" s="102"/>
      <c r="D622" s="123"/>
      <c r="E622" s="100"/>
    </row>
    <row r="623" spans="2:5" ht="13.5" customHeight="1">
      <c r="B623" s="102"/>
      <c r="D623" s="123"/>
      <c r="E623" s="100"/>
    </row>
    <row r="624" spans="2:5" ht="13.5" customHeight="1">
      <c r="B624" s="102"/>
      <c r="D624" s="123"/>
      <c r="E624" s="100"/>
    </row>
    <row r="625" spans="2:5" ht="13.5" customHeight="1">
      <c r="B625" s="102"/>
      <c r="D625" s="123"/>
      <c r="E625" s="100"/>
    </row>
    <row r="626" spans="2:5" ht="13.5" customHeight="1">
      <c r="B626" s="102"/>
      <c r="D626" s="123"/>
      <c r="E626" s="100"/>
    </row>
    <row r="627" spans="2:5" ht="13.5" customHeight="1">
      <c r="B627" s="102"/>
      <c r="D627" s="123"/>
      <c r="E627" s="100"/>
    </row>
    <row r="628" spans="2:5" ht="13.5" customHeight="1">
      <c r="B628" s="102"/>
      <c r="D628" s="123"/>
      <c r="E628" s="100"/>
    </row>
    <row r="629" spans="2:5" ht="13.5" customHeight="1">
      <c r="B629" s="102"/>
      <c r="D629" s="123"/>
      <c r="E629" s="100"/>
    </row>
    <row r="630" spans="2:5" ht="13.5" customHeight="1">
      <c r="B630" s="102"/>
      <c r="D630" s="123"/>
      <c r="E630" s="100"/>
    </row>
    <row r="631" spans="2:5" ht="13.5" customHeight="1">
      <c r="B631" s="102"/>
      <c r="D631" s="123"/>
      <c r="E631" s="100"/>
    </row>
    <row r="632" spans="2:5" ht="13.5" customHeight="1">
      <c r="B632" s="102"/>
      <c r="D632" s="123"/>
      <c r="E632" s="100"/>
    </row>
    <row r="633" spans="2:5" ht="13.5" customHeight="1">
      <c r="B633" s="102"/>
      <c r="D633" s="123"/>
      <c r="E633" s="100"/>
    </row>
    <row r="634" spans="2:5" ht="13.5" customHeight="1">
      <c r="B634" s="102"/>
      <c r="D634" s="123"/>
      <c r="E634" s="100"/>
    </row>
    <row r="635" spans="2:5" ht="13.5" customHeight="1">
      <c r="B635" s="102"/>
      <c r="D635" s="123"/>
      <c r="E635" s="100"/>
    </row>
    <row r="636" spans="2:5" ht="13.5" customHeight="1">
      <c r="B636" s="102"/>
      <c r="D636" s="123"/>
      <c r="E636" s="100"/>
    </row>
    <row r="637" spans="2:5" ht="13.5" customHeight="1">
      <c r="B637" s="102"/>
      <c r="D637" s="123"/>
      <c r="E637" s="100"/>
    </row>
    <row r="638" spans="2:5" ht="13.5" customHeight="1">
      <c r="B638" s="102"/>
      <c r="D638" s="123"/>
      <c r="E638" s="100"/>
    </row>
    <row r="639" spans="2:5" ht="13.5" customHeight="1">
      <c r="B639" s="102"/>
      <c r="D639" s="123"/>
      <c r="E639" s="100"/>
    </row>
    <row r="640" spans="2:5" ht="13.5" customHeight="1">
      <c r="B640" s="102"/>
      <c r="D640" s="123"/>
      <c r="E640" s="100"/>
    </row>
    <row r="641" spans="2:5" ht="13.5" customHeight="1">
      <c r="B641" s="102"/>
      <c r="D641" s="123"/>
      <c r="E641" s="100"/>
    </row>
    <row r="642" spans="2:5" ht="13.5" customHeight="1">
      <c r="B642" s="102"/>
      <c r="D642" s="123"/>
      <c r="E642" s="100"/>
    </row>
    <row r="643" spans="2:5" ht="13.5" customHeight="1">
      <c r="B643" s="102"/>
      <c r="D643" s="123"/>
      <c r="E643" s="100"/>
    </row>
    <row r="644" spans="2:5" ht="13.5" customHeight="1">
      <c r="B644" s="102"/>
      <c r="D644" s="123"/>
      <c r="E644" s="100"/>
    </row>
    <row r="645" spans="2:5" ht="13.5" customHeight="1">
      <c r="B645" s="102"/>
      <c r="D645" s="123"/>
      <c r="E645" s="100"/>
    </row>
    <row r="646" spans="2:5" ht="13.5" customHeight="1">
      <c r="B646" s="102"/>
      <c r="D646" s="123"/>
      <c r="E646" s="100"/>
    </row>
    <row r="647" spans="2:5" ht="13.5" customHeight="1">
      <c r="B647" s="102"/>
      <c r="D647" s="123"/>
      <c r="E647" s="100"/>
    </row>
    <row r="648" spans="2:5" ht="13.5" customHeight="1">
      <c r="B648" s="102"/>
      <c r="D648" s="123"/>
      <c r="E648" s="100"/>
    </row>
    <row r="649" spans="2:5" ht="13.5" customHeight="1">
      <c r="B649" s="102"/>
      <c r="D649" s="123"/>
      <c r="E649" s="100"/>
    </row>
    <row r="650" spans="2:5" ht="13.5" customHeight="1">
      <c r="B650" s="102"/>
      <c r="D650" s="123"/>
      <c r="E650" s="100"/>
    </row>
    <row r="651" spans="2:5" ht="13.5" customHeight="1">
      <c r="B651" s="102"/>
      <c r="D651" s="123"/>
      <c r="E651" s="100"/>
    </row>
    <row r="652" spans="2:5" ht="13.5" customHeight="1">
      <c r="B652" s="102"/>
      <c r="D652" s="123"/>
      <c r="E652" s="100"/>
    </row>
    <row r="653" spans="2:5" ht="13.5" customHeight="1">
      <c r="B653" s="102"/>
      <c r="D653" s="123"/>
      <c r="E653" s="100"/>
    </row>
    <row r="654" spans="2:5" ht="13.5" customHeight="1">
      <c r="B654" s="102"/>
      <c r="D654" s="123"/>
      <c r="E654" s="100"/>
    </row>
    <row r="655" spans="2:5" ht="13.5" customHeight="1">
      <c r="B655" s="102"/>
      <c r="D655" s="123"/>
      <c r="E655" s="100"/>
    </row>
    <row r="656" spans="2:5" ht="13.5" customHeight="1">
      <c r="B656" s="102"/>
      <c r="D656" s="123"/>
      <c r="E656" s="100"/>
    </row>
    <row r="657" spans="2:5" ht="13.5" customHeight="1">
      <c r="B657" s="102"/>
      <c r="D657" s="123"/>
      <c r="E657" s="100"/>
    </row>
    <row r="658" spans="2:5" ht="13.5" customHeight="1">
      <c r="B658" s="102"/>
      <c r="D658" s="123"/>
      <c r="E658" s="100"/>
    </row>
    <row r="659" spans="2:5" ht="13.5" customHeight="1">
      <c r="B659" s="102"/>
      <c r="D659" s="123"/>
      <c r="E659" s="100"/>
    </row>
    <row r="660" spans="2:5" ht="13.5" customHeight="1">
      <c r="B660" s="102"/>
      <c r="D660" s="123"/>
      <c r="E660" s="100"/>
    </row>
    <row r="661" spans="2:5" ht="13.5" customHeight="1">
      <c r="B661" s="102"/>
      <c r="D661" s="123"/>
      <c r="E661" s="100"/>
    </row>
    <row r="662" spans="2:5" ht="13.5" customHeight="1">
      <c r="B662" s="102"/>
      <c r="D662" s="123"/>
      <c r="E662" s="100"/>
    </row>
    <row r="663" spans="2:5" ht="13.5" customHeight="1">
      <c r="B663" s="102"/>
      <c r="D663" s="123"/>
      <c r="E663" s="100"/>
    </row>
    <row r="664" spans="2:5" ht="13.5" customHeight="1">
      <c r="B664" s="102"/>
      <c r="D664" s="123"/>
      <c r="E664" s="100"/>
    </row>
    <row r="665" spans="2:5" ht="13.5" customHeight="1">
      <c r="B665" s="102"/>
      <c r="D665" s="123"/>
      <c r="E665" s="100"/>
    </row>
    <row r="666" spans="2:5" ht="13.5" customHeight="1">
      <c r="B666" s="102"/>
      <c r="D666" s="123"/>
      <c r="E666" s="100"/>
    </row>
    <row r="667" spans="2:5" ht="13.5" customHeight="1">
      <c r="B667" s="102"/>
      <c r="D667" s="123"/>
      <c r="E667" s="100"/>
    </row>
    <row r="668" spans="2:5" ht="13.5" customHeight="1">
      <c r="B668" s="102"/>
      <c r="D668" s="123"/>
      <c r="E668" s="100"/>
    </row>
    <row r="669" spans="2:5" ht="13.5" customHeight="1">
      <c r="B669" s="102"/>
      <c r="D669" s="123"/>
      <c r="E669" s="100"/>
    </row>
    <row r="670" spans="2:5" ht="13.5" customHeight="1">
      <c r="B670" s="102"/>
      <c r="D670" s="123"/>
      <c r="E670" s="100"/>
    </row>
    <row r="671" spans="2:5" ht="13.5" customHeight="1">
      <c r="B671" s="102"/>
      <c r="D671" s="123"/>
      <c r="E671" s="100"/>
    </row>
    <row r="672" spans="2:5" ht="13.5" customHeight="1">
      <c r="B672" s="102"/>
      <c r="D672" s="123"/>
      <c r="E672" s="100"/>
    </row>
    <row r="673" spans="2:5" ht="13.5" customHeight="1">
      <c r="B673" s="102"/>
      <c r="D673" s="123"/>
      <c r="E673" s="100"/>
    </row>
    <row r="674" spans="2:5" ht="13.5" customHeight="1">
      <c r="B674" s="102"/>
      <c r="D674" s="123"/>
      <c r="E674" s="100"/>
    </row>
    <row r="675" spans="2:5" ht="13.5" customHeight="1">
      <c r="B675" s="102"/>
      <c r="D675" s="123"/>
      <c r="E675" s="100"/>
    </row>
    <row r="676" spans="2:5" ht="13.5" customHeight="1">
      <c r="B676" s="102"/>
      <c r="D676" s="123"/>
      <c r="E676" s="100"/>
    </row>
    <row r="677" spans="2:5" ht="13.5" customHeight="1">
      <c r="B677" s="102"/>
      <c r="D677" s="123"/>
      <c r="E677" s="100"/>
    </row>
    <row r="678" spans="2:5" ht="13.5" customHeight="1">
      <c r="B678" s="102"/>
      <c r="D678" s="123"/>
      <c r="E678" s="100"/>
    </row>
    <row r="679" spans="2:5" ht="13.5" customHeight="1">
      <c r="B679" s="102"/>
      <c r="D679" s="123"/>
      <c r="E679" s="100"/>
    </row>
    <row r="680" spans="2:5" ht="13.5" customHeight="1">
      <c r="B680" s="102"/>
      <c r="D680" s="123"/>
      <c r="E680" s="100"/>
    </row>
    <row r="681" spans="2:5" ht="13.5" customHeight="1">
      <c r="B681" s="102"/>
      <c r="D681" s="123"/>
      <c r="E681" s="100"/>
    </row>
    <row r="682" spans="2:5" ht="13.5" customHeight="1">
      <c r="B682" s="102"/>
      <c r="D682" s="123"/>
      <c r="E682" s="100"/>
    </row>
    <row r="683" spans="2:5" ht="13.5" customHeight="1">
      <c r="B683" s="102"/>
      <c r="D683" s="123"/>
      <c r="E683" s="100"/>
    </row>
    <row r="684" spans="2:5" ht="13.5" customHeight="1">
      <c r="B684" s="102"/>
      <c r="D684" s="123"/>
      <c r="E684" s="100"/>
    </row>
    <row r="685" spans="2:5" ht="13.5" customHeight="1">
      <c r="B685" s="102"/>
      <c r="D685" s="123"/>
      <c r="E685" s="100"/>
    </row>
    <row r="686" spans="2:5" ht="13.5" customHeight="1">
      <c r="B686" s="102"/>
      <c r="D686" s="123"/>
      <c r="E686" s="100"/>
    </row>
    <row r="687" spans="2:5" ht="13.5" customHeight="1">
      <c r="B687" s="102"/>
      <c r="D687" s="123"/>
      <c r="E687" s="100"/>
    </row>
    <row r="688" spans="2:5" ht="13.5" customHeight="1">
      <c r="B688" s="102"/>
      <c r="D688" s="123"/>
      <c r="E688" s="100"/>
    </row>
    <row r="689" spans="2:5" ht="13.5" customHeight="1">
      <c r="B689" s="102"/>
      <c r="D689" s="123"/>
      <c r="E689" s="100"/>
    </row>
    <row r="690" spans="2:5" ht="13.5" customHeight="1">
      <c r="B690" s="102"/>
      <c r="D690" s="123"/>
      <c r="E690" s="100"/>
    </row>
    <row r="691" spans="2:5" ht="13.5" customHeight="1">
      <c r="B691" s="102"/>
      <c r="D691" s="123"/>
      <c r="E691" s="100"/>
    </row>
    <row r="692" spans="2:5" ht="13.5" customHeight="1">
      <c r="B692" s="102"/>
      <c r="D692" s="123"/>
      <c r="E692" s="100"/>
    </row>
    <row r="693" spans="2:5" ht="13.5" customHeight="1">
      <c r="B693" s="102"/>
      <c r="D693" s="123"/>
      <c r="E693" s="100"/>
    </row>
    <row r="694" spans="2:5" ht="13.5" customHeight="1">
      <c r="B694" s="102"/>
      <c r="D694" s="123"/>
      <c r="E694" s="100"/>
    </row>
    <row r="695" spans="2:5" ht="13.5" customHeight="1">
      <c r="B695" s="102"/>
      <c r="D695" s="123"/>
      <c r="E695" s="100"/>
    </row>
    <row r="696" spans="2:5" ht="13.5" customHeight="1">
      <c r="B696" s="102"/>
      <c r="D696" s="123"/>
      <c r="E696" s="100"/>
    </row>
    <row r="697" spans="2:5" ht="13.5" customHeight="1">
      <c r="B697" s="102"/>
      <c r="D697" s="123"/>
      <c r="E697" s="100"/>
    </row>
    <row r="698" spans="2:5" ht="13.5" customHeight="1">
      <c r="B698" s="102"/>
      <c r="D698" s="123"/>
      <c r="E698" s="100"/>
    </row>
    <row r="699" spans="2:5" ht="13.5" customHeight="1">
      <c r="B699" s="102"/>
      <c r="D699" s="123"/>
      <c r="E699" s="100"/>
    </row>
    <row r="700" spans="2:5" ht="13.5" customHeight="1">
      <c r="B700" s="102"/>
      <c r="D700" s="123"/>
      <c r="E700" s="100"/>
    </row>
    <row r="701" spans="2:5" ht="13.5" customHeight="1">
      <c r="B701" s="102"/>
      <c r="D701" s="123"/>
      <c r="E701" s="100"/>
    </row>
    <row r="702" spans="2:5" ht="13.5" customHeight="1">
      <c r="B702" s="102"/>
      <c r="D702" s="123"/>
      <c r="E702" s="100"/>
    </row>
    <row r="703" spans="2:5" ht="13.5" customHeight="1">
      <c r="B703" s="102"/>
      <c r="D703" s="123"/>
      <c r="E703" s="100"/>
    </row>
    <row r="704" spans="2:5" ht="13.5" customHeight="1">
      <c r="B704" s="102"/>
      <c r="D704" s="123"/>
      <c r="E704" s="100"/>
    </row>
    <row r="705" spans="2:5" ht="13.5" customHeight="1">
      <c r="B705" s="102"/>
      <c r="D705" s="123"/>
      <c r="E705" s="100"/>
    </row>
    <row r="706" spans="2:5" ht="13.5" customHeight="1">
      <c r="B706" s="102"/>
      <c r="D706" s="123"/>
      <c r="E706" s="100"/>
    </row>
    <row r="707" spans="2:5" ht="13.5" customHeight="1">
      <c r="B707" s="102"/>
      <c r="D707" s="123"/>
      <c r="E707" s="100"/>
    </row>
    <row r="708" spans="2:5" ht="13.5" customHeight="1">
      <c r="B708" s="102"/>
      <c r="D708" s="123"/>
      <c r="E708" s="100"/>
    </row>
    <row r="709" spans="2:5" ht="13.5" customHeight="1">
      <c r="B709" s="102"/>
      <c r="D709" s="123"/>
      <c r="E709" s="100"/>
    </row>
    <row r="710" spans="2:5" ht="13.5" customHeight="1">
      <c r="B710" s="102"/>
      <c r="D710" s="123"/>
      <c r="E710" s="100"/>
    </row>
    <row r="711" spans="2:5" ht="13.5" customHeight="1">
      <c r="B711" s="102"/>
      <c r="D711" s="123"/>
      <c r="E711" s="100"/>
    </row>
    <row r="712" spans="2:5" ht="13.5" customHeight="1">
      <c r="B712" s="102"/>
      <c r="D712" s="123"/>
      <c r="E712" s="100"/>
    </row>
    <row r="713" spans="2:5" ht="13.5" customHeight="1">
      <c r="B713" s="102"/>
      <c r="D713" s="123"/>
      <c r="E713" s="100"/>
    </row>
    <row r="714" spans="2:5" ht="13.5" customHeight="1">
      <c r="B714" s="102"/>
      <c r="D714" s="123"/>
      <c r="E714" s="100"/>
    </row>
    <row r="715" spans="2:5" ht="13.5" customHeight="1">
      <c r="B715" s="102"/>
      <c r="D715" s="123"/>
      <c r="E715" s="100"/>
    </row>
    <row r="716" spans="2:5" ht="13.5" customHeight="1">
      <c r="B716" s="102"/>
      <c r="D716" s="123"/>
      <c r="E716" s="100"/>
    </row>
    <row r="717" spans="2:5" ht="13.5" customHeight="1">
      <c r="B717" s="102"/>
      <c r="D717" s="123"/>
      <c r="E717" s="100"/>
    </row>
    <row r="718" spans="2:5" ht="13.5" customHeight="1">
      <c r="B718" s="102"/>
      <c r="D718" s="123"/>
      <c r="E718" s="100"/>
    </row>
    <row r="719" spans="2:5" ht="13.5" customHeight="1">
      <c r="B719" s="102"/>
      <c r="D719" s="123"/>
      <c r="E719" s="100"/>
    </row>
    <row r="720" spans="2:5" ht="13.5" customHeight="1">
      <c r="B720" s="102"/>
      <c r="D720" s="123"/>
      <c r="E720" s="100"/>
    </row>
    <row r="721" spans="2:5" ht="13.5" customHeight="1">
      <c r="B721" s="102"/>
      <c r="D721" s="123"/>
      <c r="E721" s="100"/>
    </row>
    <row r="722" spans="2:5" ht="13.5" customHeight="1">
      <c r="B722" s="102"/>
      <c r="D722" s="123"/>
      <c r="E722" s="100"/>
    </row>
    <row r="723" spans="2:5" ht="13.5" customHeight="1">
      <c r="B723" s="102"/>
      <c r="D723" s="123"/>
      <c r="E723" s="100"/>
    </row>
    <row r="724" spans="2:5" ht="13.5" customHeight="1">
      <c r="B724" s="102"/>
      <c r="D724" s="123"/>
      <c r="E724" s="100"/>
    </row>
    <row r="725" spans="2:5" ht="13.5" customHeight="1">
      <c r="B725" s="102"/>
      <c r="D725" s="123"/>
      <c r="E725" s="100"/>
    </row>
    <row r="726" spans="2:5" ht="13.5" customHeight="1">
      <c r="B726" s="102"/>
      <c r="D726" s="123"/>
      <c r="E726" s="100"/>
    </row>
    <row r="727" spans="2:5" ht="13.5" customHeight="1">
      <c r="B727" s="102"/>
      <c r="D727" s="123"/>
      <c r="E727" s="100"/>
    </row>
    <row r="728" spans="2:5" ht="13.5" customHeight="1">
      <c r="B728" s="102"/>
      <c r="D728" s="123"/>
      <c r="E728" s="100"/>
    </row>
    <row r="729" spans="2:5" ht="13.5" customHeight="1">
      <c r="B729" s="102"/>
      <c r="D729" s="123"/>
      <c r="E729" s="100"/>
    </row>
    <row r="730" spans="2:5" ht="13.5" customHeight="1">
      <c r="B730" s="102"/>
      <c r="D730" s="123"/>
      <c r="E730" s="100"/>
    </row>
    <row r="731" spans="2:5" ht="13.5" customHeight="1">
      <c r="B731" s="102"/>
      <c r="D731" s="123"/>
      <c r="E731" s="100"/>
    </row>
    <row r="732" spans="2:5" ht="13.5" customHeight="1">
      <c r="B732" s="102"/>
      <c r="D732" s="123"/>
      <c r="E732" s="100"/>
    </row>
    <row r="733" spans="2:5" ht="13.5" customHeight="1">
      <c r="B733" s="102"/>
      <c r="D733" s="123"/>
      <c r="E733" s="100"/>
    </row>
    <row r="734" spans="2:5" ht="13.5" customHeight="1">
      <c r="B734" s="102"/>
      <c r="D734" s="123"/>
      <c r="E734" s="100"/>
    </row>
    <row r="735" spans="2:5" ht="13.5" customHeight="1">
      <c r="B735" s="102"/>
      <c r="D735" s="123"/>
      <c r="E735" s="100"/>
    </row>
    <row r="736" spans="2:5" ht="13.5" customHeight="1">
      <c r="B736" s="102"/>
      <c r="D736" s="123"/>
      <c r="E736" s="100"/>
    </row>
    <row r="737" spans="2:5" ht="13.5" customHeight="1">
      <c r="B737" s="102"/>
      <c r="D737" s="123"/>
      <c r="E737" s="100"/>
    </row>
    <row r="738" spans="2:5" ht="13.5" customHeight="1">
      <c r="B738" s="102"/>
      <c r="D738" s="123"/>
      <c r="E738" s="100"/>
    </row>
    <row r="739" spans="2:5" ht="13.5" customHeight="1">
      <c r="B739" s="102"/>
      <c r="D739" s="123"/>
      <c r="E739" s="100"/>
    </row>
    <row r="740" spans="2:5" ht="13.5" customHeight="1">
      <c r="B740" s="102"/>
      <c r="D740" s="123"/>
      <c r="E740" s="100"/>
    </row>
    <row r="741" spans="2:5" ht="13.5" customHeight="1">
      <c r="B741" s="102"/>
      <c r="D741" s="123"/>
      <c r="E741" s="100"/>
    </row>
    <row r="742" spans="2:5" ht="13.5" customHeight="1">
      <c r="B742" s="102"/>
      <c r="D742" s="123"/>
      <c r="E742" s="100"/>
    </row>
    <row r="743" spans="2:5" ht="13.5" customHeight="1">
      <c r="B743" s="102"/>
      <c r="D743" s="123"/>
      <c r="E743" s="100"/>
    </row>
    <row r="744" spans="2:5" ht="13.5" customHeight="1">
      <c r="B744" s="102"/>
      <c r="D744" s="123"/>
      <c r="E744" s="100"/>
    </row>
    <row r="745" spans="2:5" ht="13.5" customHeight="1">
      <c r="B745" s="102"/>
      <c r="D745" s="123"/>
      <c r="E745" s="100"/>
    </row>
    <row r="746" spans="2:5" ht="13.5" customHeight="1">
      <c r="B746" s="102"/>
      <c r="D746" s="123"/>
      <c r="E746" s="100"/>
    </row>
    <row r="747" spans="2:5" ht="13.5" customHeight="1">
      <c r="B747" s="102"/>
      <c r="D747" s="123"/>
      <c r="E747" s="100"/>
    </row>
    <row r="748" spans="2:5" ht="13.5" customHeight="1">
      <c r="B748" s="102"/>
      <c r="D748" s="123"/>
      <c r="E748" s="100"/>
    </row>
    <row r="749" spans="2:5" ht="13.5" customHeight="1">
      <c r="B749" s="102"/>
      <c r="D749" s="123"/>
      <c r="E749" s="100"/>
    </row>
    <row r="750" spans="2:5" ht="13.5" customHeight="1">
      <c r="B750" s="102"/>
      <c r="D750" s="123"/>
      <c r="E750" s="100"/>
    </row>
    <row r="751" spans="2:5" ht="13.5" customHeight="1">
      <c r="B751" s="102"/>
      <c r="D751" s="123"/>
      <c r="E751" s="100"/>
    </row>
    <row r="752" spans="2:5" ht="13.5" customHeight="1">
      <c r="B752" s="102"/>
      <c r="D752" s="123"/>
      <c r="E752" s="100"/>
    </row>
    <row r="753" spans="2:5" ht="13.5" customHeight="1">
      <c r="B753" s="102"/>
      <c r="D753" s="123"/>
      <c r="E753" s="100"/>
    </row>
    <row r="754" spans="2:5" ht="13.5" customHeight="1">
      <c r="B754" s="102"/>
      <c r="D754" s="123"/>
      <c r="E754" s="100"/>
    </row>
    <row r="755" spans="2:5" ht="13.5" customHeight="1">
      <c r="B755" s="102"/>
      <c r="D755" s="123"/>
      <c r="E755" s="100"/>
    </row>
    <row r="756" spans="2:5" ht="13.5" customHeight="1">
      <c r="B756" s="102"/>
      <c r="D756" s="123"/>
      <c r="E756" s="100"/>
    </row>
    <row r="757" spans="2:5" ht="13.5" customHeight="1">
      <c r="B757" s="102"/>
      <c r="D757" s="123"/>
      <c r="E757" s="100"/>
    </row>
    <row r="758" spans="2:5" ht="13.5" customHeight="1">
      <c r="B758" s="102"/>
      <c r="D758" s="123"/>
      <c r="E758" s="100"/>
    </row>
    <row r="759" spans="2:5" ht="13.5" customHeight="1">
      <c r="B759" s="102"/>
      <c r="D759" s="123"/>
      <c r="E759" s="100"/>
    </row>
    <row r="760" spans="2:5" ht="13.5" customHeight="1">
      <c r="B760" s="102"/>
      <c r="D760" s="123"/>
      <c r="E760" s="100"/>
    </row>
    <row r="761" spans="2:5" ht="13.5" customHeight="1">
      <c r="B761" s="102"/>
      <c r="D761" s="123"/>
      <c r="E761" s="100"/>
    </row>
    <row r="762" spans="2:5" ht="13.5" customHeight="1">
      <c r="B762" s="102"/>
      <c r="D762" s="123"/>
      <c r="E762" s="100"/>
    </row>
    <row r="763" spans="2:5" ht="13.5" customHeight="1">
      <c r="B763" s="102"/>
      <c r="D763" s="123"/>
      <c r="E763" s="100"/>
    </row>
    <row r="764" spans="2:5" ht="13.5" customHeight="1">
      <c r="B764" s="102"/>
      <c r="D764" s="123"/>
      <c r="E764" s="100"/>
    </row>
    <row r="765" spans="2:5" ht="13.5" customHeight="1">
      <c r="B765" s="102"/>
      <c r="D765" s="123"/>
      <c r="E765" s="100"/>
    </row>
    <row r="766" spans="2:5" ht="13.5" customHeight="1">
      <c r="B766" s="102"/>
      <c r="D766" s="123"/>
      <c r="E766" s="100"/>
    </row>
    <row r="767" spans="2:5" ht="13.5" customHeight="1">
      <c r="B767" s="102"/>
      <c r="D767" s="123"/>
      <c r="E767" s="100"/>
    </row>
    <row r="768" spans="2:5" ht="13.5" customHeight="1">
      <c r="B768" s="102"/>
      <c r="D768" s="123"/>
      <c r="E768" s="100"/>
    </row>
    <row r="769" spans="2:5" ht="13.5" customHeight="1">
      <c r="B769" s="102"/>
      <c r="D769" s="123"/>
      <c r="E769" s="100"/>
    </row>
    <row r="770" spans="2:5" ht="13.5" customHeight="1">
      <c r="B770" s="102"/>
      <c r="D770" s="123"/>
      <c r="E770" s="100"/>
    </row>
    <row r="771" spans="2:5" ht="13.5" customHeight="1">
      <c r="B771" s="102"/>
      <c r="D771" s="123"/>
      <c r="E771" s="100"/>
    </row>
    <row r="772" spans="2:5" ht="13.5" customHeight="1">
      <c r="B772" s="102"/>
      <c r="D772" s="123"/>
      <c r="E772" s="100"/>
    </row>
    <row r="773" spans="2:5" ht="13.5" customHeight="1">
      <c r="B773" s="102"/>
      <c r="D773" s="123"/>
      <c r="E773" s="100"/>
    </row>
    <row r="774" spans="2:5" ht="13.5" customHeight="1">
      <c r="B774" s="102"/>
      <c r="D774" s="123"/>
      <c r="E774" s="100"/>
    </row>
    <row r="775" spans="2:5" ht="13.5" customHeight="1">
      <c r="B775" s="102"/>
      <c r="D775" s="123"/>
      <c r="E775" s="100"/>
    </row>
    <row r="776" spans="2:5" ht="13.5" customHeight="1">
      <c r="B776" s="102"/>
      <c r="D776" s="123"/>
      <c r="E776" s="100"/>
    </row>
    <row r="777" spans="2:5" ht="13.5" customHeight="1">
      <c r="B777" s="102"/>
      <c r="D777" s="123"/>
      <c r="E777" s="100"/>
    </row>
    <row r="778" spans="2:5" ht="13.5" customHeight="1">
      <c r="B778" s="102"/>
      <c r="D778" s="123"/>
      <c r="E778" s="100"/>
    </row>
    <row r="779" spans="2:5" ht="13.5" customHeight="1">
      <c r="B779" s="102"/>
      <c r="D779" s="123"/>
      <c r="E779" s="100"/>
    </row>
    <row r="780" spans="2:5" ht="13.5" customHeight="1">
      <c r="B780" s="102"/>
      <c r="D780" s="123"/>
      <c r="E780" s="100"/>
    </row>
    <row r="781" spans="2:5" ht="13.5" customHeight="1">
      <c r="B781" s="102"/>
      <c r="D781" s="123"/>
      <c r="E781" s="100"/>
    </row>
    <row r="782" spans="2:5" ht="13.5" customHeight="1">
      <c r="B782" s="102"/>
      <c r="D782" s="123"/>
      <c r="E782" s="100"/>
    </row>
    <row r="783" spans="2:5" ht="13.5" customHeight="1">
      <c r="B783" s="102"/>
      <c r="D783" s="123"/>
      <c r="E783" s="100"/>
    </row>
    <row r="784" spans="2:5" ht="13.5" customHeight="1">
      <c r="B784" s="102"/>
      <c r="D784" s="123"/>
      <c r="E784" s="100"/>
    </row>
    <row r="785" spans="2:5" ht="13.5" customHeight="1">
      <c r="B785" s="102"/>
      <c r="D785" s="123"/>
      <c r="E785" s="100"/>
    </row>
    <row r="786" spans="2:5" ht="13.5" customHeight="1">
      <c r="B786" s="102"/>
      <c r="D786" s="123"/>
      <c r="E786" s="100"/>
    </row>
    <row r="787" spans="2:5" ht="13.5" customHeight="1">
      <c r="B787" s="102"/>
      <c r="D787" s="123"/>
      <c r="E787" s="100"/>
    </row>
    <row r="788" spans="2:5" ht="13.5" customHeight="1">
      <c r="B788" s="102"/>
      <c r="D788" s="123"/>
      <c r="E788" s="100"/>
    </row>
    <row r="789" spans="2:5" ht="13.5" customHeight="1">
      <c r="B789" s="102"/>
      <c r="D789" s="123"/>
      <c r="E789" s="100"/>
    </row>
    <row r="790" spans="2:5" ht="13.5" customHeight="1">
      <c r="B790" s="102"/>
      <c r="D790" s="123"/>
      <c r="E790" s="100"/>
    </row>
    <row r="791" spans="2:5" ht="13.5" customHeight="1">
      <c r="B791" s="102"/>
      <c r="D791" s="123"/>
      <c r="E791" s="100"/>
    </row>
    <row r="792" spans="2:5" ht="13.5" customHeight="1">
      <c r="B792" s="102"/>
      <c r="D792" s="123"/>
      <c r="E792" s="100"/>
    </row>
    <row r="793" spans="2:5" ht="13.5" customHeight="1">
      <c r="B793" s="102"/>
      <c r="D793" s="123"/>
      <c r="E793" s="100"/>
    </row>
    <row r="794" spans="2:5" ht="13.5" customHeight="1">
      <c r="B794" s="102"/>
      <c r="D794" s="123"/>
      <c r="E794" s="100"/>
    </row>
    <row r="795" spans="2:5" ht="13.5" customHeight="1">
      <c r="B795" s="102"/>
      <c r="D795" s="123"/>
      <c r="E795" s="100"/>
    </row>
    <row r="796" spans="2:5" ht="13.5" customHeight="1">
      <c r="B796" s="102"/>
      <c r="D796" s="123"/>
      <c r="E796" s="100"/>
    </row>
    <row r="797" spans="2:5" ht="13.5" customHeight="1">
      <c r="B797" s="102"/>
      <c r="D797" s="123"/>
      <c r="E797" s="100"/>
    </row>
    <row r="798" spans="2:5" ht="13.5" customHeight="1">
      <c r="B798" s="102"/>
      <c r="D798" s="123"/>
      <c r="E798" s="100"/>
    </row>
    <row r="799" spans="2:5" ht="13.5" customHeight="1">
      <c r="B799" s="102"/>
      <c r="D799" s="123"/>
      <c r="E799" s="100"/>
    </row>
    <row r="800" spans="2:5" ht="13.5" customHeight="1">
      <c r="B800" s="102"/>
      <c r="D800" s="123"/>
      <c r="E800" s="100"/>
    </row>
    <row r="801" spans="2:5" ht="13.5" customHeight="1">
      <c r="B801" s="102"/>
      <c r="D801" s="123"/>
      <c r="E801" s="100"/>
    </row>
    <row r="802" spans="2:5" ht="13.5" customHeight="1">
      <c r="B802" s="102"/>
      <c r="D802" s="123"/>
      <c r="E802" s="100"/>
    </row>
    <row r="803" spans="2:5" ht="13.5" customHeight="1">
      <c r="B803" s="102"/>
      <c r="D803" s="123"/>
      <c r="E803" s="100"/>
    </row>
    <row r="804" spans="2:5" ht="13.5" customHeight="1">
      <c r="B804" s="102"/>
      <c r="D804" s="123"/>
      <c r="E804" s="100"/>
    </row>
    <row r="805" spans="2:5" ht="13.5" customHeight="1">
      <c r="B805" s="102"/>
      <c r="D805" s="123"/>
      <c r="E805" s="100"/>
    </row>
    <row r="806" spans="2:5" ht="13.5" customHeight="1">
      <c r="B806" s="102"/>
      <c r="D806" s="123"/>
      <c r="E806" s="100"/>
    </row>
    <row r="807" spans="2:5" ht="13.5" customHeight="1">
      <c r="B807" s="102"/>
      <c r="D807" s="123"/>
      <c r="E807" s="100"/>
    </row>
    <row r="808" spans="2:5" ht="13.5" customHeight="1">
      <c r="B808" s="102"/>
      <c r="D808" s="123"/>
      <c r="E808" s="100"/>
    </row>
    <row r="809" spans="2:5" ht="13.5" customHeight="1">
      <c r="B809" s="102"/>
      <c r="D809" s="123"/>
      <c r="E809" s="100"/>
    </row>
    <row r="810" spans="2:5" ht="13.5" customHeight="1">
      <c r="B810" s="102"/>
      <c r="D810" s="123"/>
      <c r="E810" s="100"/>
    </row>
    <row r="811" spans="2:5" ht="13.5" customHeight="1">
      <c r="B811" s="102"/>
      <c r="D811" s="123"/>
      <c r="E811" s="100"/>
    </row>
    <row r="812" spans="2:5" ht="13.5" customHeight="1">
      <c r="B812" s="102"/>
      <c r="D812" s="123"/>
      <c r="E812" s="100"/>
    </row>
    <row r="813" spans="2:5" ht="13.5" customHeight="1">
      <c r="B813" s="102"/>
      <c r="D813" s="123"/>
      <c r="E813" s="100"/>
    </row>
    <row r="814" spans="2:5" ht="13.5" customHeight="1">
      <c r="B814" s="102"/>
      <c r="D814" s="123"/>
      <c r="E814" s="100"/>
    </row>
    <row r="815" spans="2:5" ht="13.5" customHeight="1">
      <c r="B815" s="102"/>
      <c r="D815" s="123"/>
      <c r="E815" s="100"/>
    </row>
    <row r="816" spans="2:5" ht="13.5" customHeight="1">
      <c r="B816" s="102"/>
      <c r="D816" s="123"/>
      <c r="E816" s="100"/>
    </row>
    <row r="817" spans="2:5" ht="13.5" customHeight="1">
      <c r="B817" s="102"/>
      <c r="D817" s="123"/>
      <c r="E817" s="100"/>
    </row>
    <row r="818" spans="2:5" ht="13.5" customHeight="1">
      <c r="B818" s="102"/>
      <c r="D818" s="123"/>
      <c r="E818" s="100"/>
    </row>
    <row r="819" spans="2:5" ht="13.5" customHeight="1">
      <c r="B819" s="102"/>
      <c r="D819" s="123"/>
      <c r="E819" s="100"/>
    </row>
    <row r="820" spans="2:5" ht="13.5" customHeight="1">
      <c r="B820" s="102"/>
      <c r="D820" s="123"/>
      <c r="E820" s="100"/>
    </row>
    <row r="821" spans="2:5" ht="13.5" customHeight="1">
      <c r="B821" s="102"/>
      <c r="D821" s="123"/>
      <c r="E821" s="100"/>
    </row>
    <row r="822" spans="2:5" ht="13.5" customHeight="1">
      <c r="B822" s="102"/>
      <c r="D822" s="123"/>
      <c r="E822" s="100"/>
    </row>
    <row r="823" spans="2:5" ht="13.5" customHeight="1">
      <c r="B823" s="102"/>
      <c r="D823" s="123"/>
      <c r="E823" s="100"/>
    </row>
    <row r="824" spans="2:5" ht="13.5" customHeight="1">
      <c r="B824" s="102"/>
      <c r="D824" s="123"/>
      <c r="E824" s="100"/>
    </row>
    <row r="825" spans="2:5" ht="13.5" customHeight="1">
      <c r="B825" s="102"/>
      <c r="D825" s="123"/>
      <c r="E825" s="100"/>
    </row>
    <row r="826" spans="2:5" ht="13.5" customHeight="1">
      <c r="B826" s="102"/>
      <c r="D826" s="123"/>
      <c r="E826" s="100"/>
    </row>
    <row r="827" spans="2:5" ht="13.5" customHeight="1">
      <c r="B827" s="102"/>
      <c r="D827" s="123"/>
      <c r="E827" s="100"/>
    </row>
    <row r="828" spans="2:5" ht="13.5" customHeight="1">
      <c r="B828" s="102"/>
      <c r="D828" s="123"/>
      <c r="E828" s="100"/>
    </row>
    <row r="829" spans="2:5" ht="13.5" customHeight="1">
      <c r="B829" s="102"/>
      <c r="D829" s="123"/>
      <c r="E829" s="100"/>
    </row>
    <row r="830" spans="2:5" ht="13.5" customHeight="1">
      <c r="B830" s="102"/>
      <c r="D830" s="123"/>
      <c r="E830" s="100"/>
    </row>
    <row r="831" spans="2:5" ht="13.5" customHeight="1">
      <c r="B831" s="102"/>
      <c r="D831" s="123"/>
      <c r="E831" s="100"/>
    </row>
    <row r="832" spans="2:5" ht="13.5" customHeight="1">
      <c r="B832" s="102"/>
      <c r="D832" s="123"/>
      <c r="E832" s="100"/>
    </row>
    <row r="833" spans="2:5" ht="13.5" customHeight="1">
      <c r="B833" s="102"/>
      <c r="D833" s="123"/>
      <c r="E833" s="100"/>
    </row>
    <row r="834" spans="2:5" ht="13.5" customHeight="1">
      <c r="B834" s="102"/>
      <c r="D834" s="123"/>
      <c r="E834" s="100"/>
    </row>
    <row r="835" spans="2:5" ht="13.5" customHeight="1">
      <c r="B835" s="102"/>
      <c r="D835" s="123"/>
      <c r="E835" s="100"/>
    </row>
    <row r="836" spans="2:5" ht="13.5" customHeight="1">
      <c r="B836" s="102"/>
      <c r="D836" s="123"/>
      <c r="E836" s="100"/>
    </row>
    <row r="837" spans="2:5" ht="13.5" customHeight="1">
      <c r="B837" s="102"/>
      <c r="D837" s="123"/>
      <c r="E837" s="100"/>
    </row>
    <row r="838" spans="2:5" ht="13.5" customHeight="1">
      <c r="B838" s="102"/>
      <c r="D838" s="123"/>
      <c r="E838" s="100"/>
    </row>
    <row r="839" spans="2:5" ht="13.5" customHeight="1">
      <c r="B839" s="102"/>
      <c r="D839" s="123"/>
      <c r="E839" s="100"/>
    </row>
    <row r="840" spans="2:5" ht="13.5" customHeight="1">
      <c r="B840" s="102"/>
      <c r="D840" s="123"/>
      <c r="E840" s="100"/>
    </row>
    <row r="841" spans="2:5" ht="13.5" customHeight="1">
      <c r="B841" s="102"/>
      <c r="D841" s="123"/>
      <c r="E841" s="100"/>
    </row>
    <row r="842" spans="2:5" ht="13.5" customHeight="1">
      <c r="B842" s="102"/>
      <c r="D842" s="123"/>
      <c r="E842" s="100"/>
    </row>
    <row r="843" spans="2:5" ht="13.5" customHeight="1">
      <c r="B843" s="102"/>
      <c r="D843" s="123"/>
      <c r="E843" s="100"/>
    </row>
    <row r="844" spans="2:5" ht="13.5" customHeight="1">
      <c r="B844" s="102"/>
      <c r="D844" s="123"/>
      <c r="E844" s="100"/>
    </row>
    <row r="845" spans="2:5" ht="13.5" customHeight="1">
      <c r="B845" s="102"/>
      <c r="D845" s="123"/>
      <c r="E845" s="100"/>
    </row>
    <row r="846" spans="2:5" ht="13.5" customHeight="1">
      <c r="B846" s="102"/>
      <c r="D846" s="123"/>
      <c r="E846" s="100"/>
    </row>
    <row r="847" spans="2:5" ht="13.5" customHeight="1">
      <c r="B847" s="102"/>
      <c r="D847" s="123"/>
      <c r="E847" s="100"/>
    </row>
    <row r="848" spans="2:5" ht="13.5" customHeight="1">
      <c r="B848" s="102"/>
      <c r="D848" s="123"/>
      <c r="E848" s="100"/>
    </row>
    <row r="849" spans="2:5" ht="13.5" customHeight="1">
      <c r="B849" s="102"/>
      <c r="D849" s="123"/>
      <c r="E849" s="100"/>
    </row>
    <row r="850" spans="2:5" ht="13.5" customHeight="1">
      <c r="B850" s="102"/>
      <c r="D850" s="123"/>
      <c r="E850" s="100"/>
    </row>
    <row r="851" spans="2:5" ht="13.5" customHeight="1">
      <c r="B851" s="102"/>
      <c r="D851" s="123"/>
      <c r="E851" s="100"/>
    </row>
    <row r="852" spans="2:5" ht="13.5" customHeight="1">
      <c r="B852" s="102"/>
      <c r="D852" s="123"/>
      <c r="E852" s="100"/>
    </row>
    <row r="853" spans="2:5" ht="13.5" customHeight="1">
      <c r="B853" s="102"/>
      <c r="D853" s="123"/>
      <c r="E853" s="100"/>
    </row>
    <row r="854" spans="2:5" ht="13.5" customHeight="1">
      <c r="B854" s="102"/>
      <c r="D854" s="123"/>
      <c r="E854" s="100"/>
    </row>
    <row r="855" spans="2:5" ht="13.5" customHeight="1">
      <c r="B855" s="102"/>
      <c r="D855" s="123"/>
      <c r="E855" s="100"/>
    </row>
    <row r="856" spans="2:5" ht="13.5" customHeight="1">
      <c r="B856" s="102"/>
      <c r="D856" s="123"/>
      <c r="E856" s="100"/>
    </row>
    <row r="857" spans="2:5" ht="13.5" customHeight="1">
      <c r="B857" s="102"/>
      <c r="D857" s="123"/>
      <c r="E857" s="100"/>
    </row>
    <row r="858" spans="2:5" ht="13.5" customHeight="1">
      <c r="B858" s="102"/>
      <c r="D858" s="123"/>
      <c r="E858" s="100"/>
    </row>
    <row r="859" spans="2:5" ht="13.5" customHeight="1">
      <c r="B859" s="102"/>
      <c r="D859" s="123"/>
      <c r="E859" s="100"/>
    </row>
    <row r="860" spans="2:5" ht="13.5" customHeight="1">
      <c r="B860" s="102"/>
      <c r="D860" s="123"/>
      <c r="E860" s="100"/>
    </row>
    <row r="861" spans="2:5" ht="13.5" customHeight="1">
      <c r="B861" s="102"/>
      <c r="D861" s="123"/>
      <c r="E861" s="100"/>
    </row>
    <row r="862" spans="2:5" ht="13.5" customHeight="1">
      <c r="B862" s="102"/>
      <c r="D862" s="123"/>
      <c r="E862" s="100"/>
    </row>
    <row r="863" spans="2:5" ht="13.5" customHeight="1">
      <c r="B863" s="102"/>
      <c r="D863" s="123"/>
      <c r="E863" s="100"/>
    </row>
    <row r="864" spans="2:5" ht="13.5" customHeight="1">
      <c r="B864" s="102"/>
      <c r="D864" s="123"/>
      <c r="E864" s="100"/>
    </row>
    <row r="865" spans="2:5" ht="13.5" customHeight="1">
      <c r="B865" s="102"/>
      <c r="D865" s="123"/>
      <c r="E865" s="100"/>
    </row>
    <row r="866" spans="2:5" ht="13.5" customHeight="1">
      <c r="B866" s="102"/>
      <c r="D866" s="123"/>
      <c r="E866" s="100"/>
    </row>
    <row r="867" spans="2:5" ht="13.5" customHeight="1">
      <c r="B867" s="102"/>
      <c r="D867" s="123"/>
      <c r="E867" s="100"/>
    </row>
    <row r="868" spans="2:5" ht="13.5" customHeight="1">
      <c r="B868" s="102"/>
      <c r="D868" s="123"/>
      <c r="E868" s="100"/>
    </row>
    <row r="869" spans="2:5" ht="13.5" customHeight="1">
      <c r="B869" s="102"/>
      <c r="D869" s="123"/>
      <c r="E869" s="100"/>
    </row>
    <row r="870" spans="2:5" ht="13.5" customHeight="1">
      <c r="B870" s="102"/>
      <c r="D870" s="123"/>
      <c r="E870" s="100"/>
    </row>
    <row r="871" spans="2:5" ht="13.5" customHeight="1">
      <c r="B871" s="102"/>
      <c r="D871" s="123"/>
      <c r="E871" s="100"/>
    </row>
    <row r="872" spans="2:5" ht="13.5" customHeight="1">
      <c r="B872" s="102"/>
      <c r="D872" s="123"/>
      <c r="E872" s="100"/>
    </row>
    <row r="873" spans="2:5" ht="13.5" customHeight="1">
      <c r="B873" s="102"/>
      <c r="D873" s="123"/>
      <c r="E873" s="100"/>
    </row>
    <row r="874" spans="2:5" ht="13.5" customHeight="1">
      <c r="B874" s="102"/>
      <c r="D874" s="123"/>
      <c r="E874" s="100"/>
    </row>
    <row r="875" spans="2:5" ht="13.5" customHeight="1">
      <c r="B875" s="102"/>
      <c r="D875" s="123"/>
      <c r="E875" s="100"/>
    </row>
    <row r="876" spans="2:5" ht="13.5" customHeight="1">
      <c r="B876" s="102"/>
      <c r="D876" s="123"/>
      <c r="E876" s="100"/>
    </row>
    <row r="877" spans="2:5" ht="13.5" customHeight="1">
      <c r="B877" s="102"/>
      <c r="D877" s="123"/>
      <c r="E877" s="100"/>
    </row>
    <row r="878" spans="2:5" ht="13.5" customHeight="1">
      <c r="B878" s="102"/>
      <c r="D878" s="123"/>
      <c r="E878" s="100"/>
    </row>
    <row r="879" spans="2:5" ht="13.5" customHeight="1">
      <c r="B879" s="102"/>
      <c r="D879" s="123"/>
      <c r="E879" s="100"/>
    </row>
    <row r="880" spans="2:5" ht="13.5" customHeight="1">
      <c r="B880" s="102"/>
      <c r="D880" s="123"/>
      <c r="E880" s="100"/>
    </row>
    <row r="881" spans="2:5" ht="13.5" customHeight="1">
      <c r="B881" s="102"/>
      <c r="D881" s="123"/>
      <c r="E881" s="100"/>
    </row>
    <row r="882" spans="2:5" ht="13.5" customHeight="1">
      <c r="B882" s="102"/>
      <c r="D882" s="123"/>
      <c r="E882" s="100"/>
    </row>
    <row r="883" spans="2:5" ht="13.5" customHeight="1">
      <c r="B883" s="102"/>
      <c r="D883" s="123"/>
      <c r="E883" s="100"/>
    </row>
    <row r="884" spans="2:5" ht="13.5" customHeight="1">
      <c r="B884" s="102"/>
      <c r="D884" s="123"/>
      <c r="E884" s="100"/>
    </row>
    <row r="885" spans="2:5" ht="13.5" customHeight="1">
      <c r="B885" s="102"/>
      <c r="D885" s="123"/>
      <c r="E885" s="100"/>
    </row>
    <row r="886" spans="2:5" ht="13.5" customHeight="1">
      <c r="B886" s="102"/>
      <c r="D886" s="123"/>
      <c r="E886" s="100"/>
    </row>
    <row r="887" spans="2:5" ht="13.5" customHeight="1">
      <c r="B887" s="102"/>
      <c r="D887" s="123"/>
      <c r="E887" s="100"/>
    </row>
    <row r="888" spans="2:5" ht="13.5" customHeight="1">
      <c r="B888" s="102"/>
      <c r="D888" s="123"/>
      <c r="E888" s="100"/>
    </row>
    <row r="889" spans="2:5" ht="13.5" customHeight="1">
      <c r="B889" s="102"/>
      <c r="D889" s="123"/>
      <c r="E889" s="100"/>
    </row>
    <row r="890" spans="2:5" ht="13.5" customHeight="1">
      <c r="B890" s="102"/>
      <c r="D890" s="123"/>
      <c r="E890" s="100"/>
    </row>
    <row r="891" spans="2:5" ht="13.5" customHeight="1">
      <c r="B891" s="102"/>
      <c r="D891" s="123"/>
      <c r="E891" s="100"/>
    </row>
    <row r="892" spans="2:5" ht="13.5" customHeight="1">
      <c r="B892" s="102"/>
      <c r="D892" s="123"/>
      <c r="E892" s="100"/>
    </row>
    <row r="893" spans="2:5" ht="13.5" customHeight="1">
      <c r="B893" s="102"/>
      <c r="D893" s="123"/>
      <c r="E893" s="100"/>
    </row>
    <row r="894" spans="2:5" ht="13.5" customHeight="1">
      <c r="B894" s="102"/>
      <c r="D894" s="123"/>
      <c r="E894" s="100"/>
    </row>
    <row r="895" spans="2:5" ht="13.5" customHeight="1">
      <c r="B895" s="102"/>
      <c r="D895" s="123"/>
      <c r="E895" s="100"/>
    </row>
    <row r="896" spans="2:5" ht="13.5" customHeight="1">
      <c r="B896" s="102"/>
      <c r="D896" s="123"/>
      <c r="E896" s="100"/>
    </row>
    <row r="897" spans="2:5" ht="13.5" customHeight="1">
      <c r="B897" s="102"/>
      <c r="D897" s="123"/>
      <c r="E897" s="100"/>
    </row>
    <row r="898" spans="2:5" ht="13.5" customHeight="1">
      <c r="B898" s="102"/>
      <c r="D898" s="123"/>
      <c r="E898" s="100"/>
    </row>
    <row r="899" spans="2:5" ht="13.5" customHeight="1">
      <c r="B899" s="102"/>
      <c r="D899" s="123"/>
      <c r="E899" s="100"/>
    </row>
    <row r="900" spans="2:5" ht="13.5" customHeight="1">
      <c r="B900" s="102"/>
      <c r="D900" s="123"/>
      <c r="E900" s="100"/>
    </row>
    <row r="901" spans="2:5" ht="13.5" customHeight="1">
      <c r="B901" s="102"/>
      <c r="D901" s="123"/>
      <c r="E901" s="100"/>
    </row>
    <row r="902" spans="2:5" ht="13.5" customHeight="1">
      <c r="B902" s="102"/>
      <c r="D902" s="123"/>
      <c r="E902" s="100"/>
    </row>
    <row r="903" spans="2:5" ht="13.5" customHeight="1">
      <c r="B903" s="102"/>
      <c r="D903" s="123"/>
      <c r="E903" s="100"/>
    </row>
    <row r="904" spans="2:5" ht="13.5" customHeight="1">
      <c r="B904" s="102"/>
      <c r="D904" s="123"/>
      <c r="E904" s="100"/>
    </row>
    <row r="905" spans="2:5" ht="13.5" customHeight="1">
      <c r="B905" s="102"/>
      <c r="D905" s="123"/>
      <c r="E905" s="100"/>
    </row>
    <row r="906" spans="2:5" ht="13.5" customHeight="1">
      <c r="B906" s="102"/>
      <c r="D906" s="123"/>
      <c r="E906" s="100"/>
    </row>
    <row r="907" spans="2:5" ht="13.5" customHeight="1">
      <c r="B907" s="102"/>
      <c r="D907" s="123"/>
      <c r="E907" s="100"/>
    </row>
    <row r="908" spans="2:5" ht="13.5" customHeight="1">
      <c r="B908" s="102"/>
      <c r="D908" s="123"/>
      <c r="E908" s="100"/>
    </row>
    <row r="909" spans="2:5" ht="13.5" customHeight="1">
      <c r="B909" s="102"/>
      <c r="D909" s="123"/>
      <c r="E909" s="100"/>
    </row>
    <row r="910" spans="2:5" ht="13.5" customHeight="1">
      <c r="B910" s="102"/>
      <c r="D910" s="123"/>
      <c r="E910" s="100"/>
    </row>
    <row r="911" spans="2:5" ht="13.5" customHeight="1">
      <c r="B911" s="102"/>
      <c r="D911" s="123"/>
      <c r="E911" s="100"/>
    </row>
    <row r="912" spans="2:5" ht="13.5" customHeight="1">
      <c r="B912" s="102"/>
      <c r="D912" s="123"/>
      <c r="E912" s="100"/>
    </row>
    <row r="913" spans="2:5" ht="13.5" customHeight="1">
      <c r="B913" s="102"/>
      <c r="D913" s="123"/>
      <c r="E913" s="100"/>
    </row>
    <row r="914" spans="2:5" ht="13.5" customHeight="1">
      <c r="B914" s="102"/>
      <c r="D914" s="123"/>
      <c r="E914" s="100"/>
    </row>
    <row r="915" spans="2:5" ht="13.5" customHeight="1">
      <c r="B915" s="102"/>
      <c r="D915" s="123"/>
      <c r="E915" s="100"/>
    </row>
    <row r="916" spans="2:5" ht="13.5" customHeight="1">
      <c r="B916" s="102"/>
      <c r="D916" s="123"/>
      <c r="E916" s="100"/>
    </row>
    <row r="917" spans="2:5" ht="13.5" customHeight="1">
      <c r="B917" s="102"/>
      <c r="D917" s="123"/>
      <c r="E917" s="100"/>
    </row>
    <row r="918" spans="2:5" ht="13.5" customHeight="1">
      <c r="B918" s="102"/>
      <c r="D918" s="123"/>
      <c r="E918" s="100"/>
    </row>
    <row r="919" spans="2:5" ht="13.5" customHeight="1">
      <c r="B919" s="102"/>
      <c r="D919" s="123"/>
      <c r="E919" s="100"/>
    </row>
    <row r="920" spans="2:5" ht="13.5" customHeight="1">
      <c r="B920" s="102"/>
      <c r="D920" s="123"/>
      <c r="E920" s="100"/>
    </row>
    <row r="921" spans="2:5" ht="13.5" customHeight="1">
      <c r="B921" s="102"/>
      <c r="D921" s="123"/>
      <c r="E921" s="100"/>
    </row>
    <row r="922" spans="2:5" ht="13.5" customHeight="1">
      <c r="B922" s="102"/>
      <c r="D922" s="123"/>
      <c r="E922" s="100"/>
    </row>
    <row r="923" spans="2:5" ht="13.5" customHeight="1">
      <c r="B923" s="102"/>
      <c r="D923" s="123"/>
      <c r="E923" s="100"/>
    </row>
    <row r="924" spans="2:5" ht="13.5" customHeight="1">
      <c r="B924" s="102"/>
      <c r="D924" s="123"/>
      <c r="E924" s="100"/>
    </row>
    <row r="925" spans="2:5" ht="13.5" customHeight="1">
      <c r="B925" s="102"/>
      <c r="D925" s="123"/>
      <c r="E925" s="100"/>
    </row>
    <row r="926" spans="2:5" ht="13.5" customHeight="1">
      <c r="B926" s="102"/>
      <c r="D926" s="123"/>
      <c r="E926" s="100"/>
    </row>
    <row r="927" spans="2:5" ht="13.5" customHeight="1">
      <c r="B927" s="102"/>
      <c r="D927" s="123"/>
      <c r="E927" s="100"/>
    </row>
    <row r="928" spans="2:5" ht="13.5" customHeight="1">
      <c r="B928" s="102"/>
      <c r="D928" s="123"/>
      <c r="E928" s="100"/>
    </row>
    <row r="929" spans="2:5" ht="13.5" customHeight="1">
      <c r="B929" s="102"/>
      <c r="D929" s="123"/>
      <c r="E929" s="100"/>
    </row>
    <row r="930" spans="2:5" ht="13.5" customHeight="1">
      <c r="B930" s="102"/>
      <c r="D930" s="123"/>
      <c r="E930" s="100"/>
    </row>
    <row r="931" spans="2:5" ht="13.5" customHeight="1">
      <c r="B931" s="102"/>
      <c r="D931" s="123"/>
      <c r="E931" s="100"/>
    </row>
    <row r="932" spans="2:5" ht="13.5" customHeight="1">
      <c r="B932" s="102"/>
      <c r="D932" s="123"/>
      <c r="E932" s="100"/>
    </row>
    <row r="933" spans="2:5" ht="13.5" customHeight="1">
      <c r="B933" s="102"/>
      <c r="D933" s="123"/>
      <c r="E933" s="100"/>
    </row>
    <row r="934" spans="2:5" ht="13.5" customHeight="1">
      <c r="B934" s="102"/>
      <c r="D934" s="123"/>
      <c r="E934" s="100"/>
    </row>
    <row r="935" spans="2:5" ht="13.5" customHeight="1">
      <c r="B935" s="102"/>
      <c r="D935" s="123"/>
      <c r="E935" s="100"/>
    </row>
    <row r="936" spans="2:5" ht="13.5" customHeight="1">
      <c r="B936" s="102"/>
      <c r="D936" s="123"/>
      <c r="E936" s="100"/>
    </row>
    <row r="937" spans="2:5" ht="13.5" customHeight="1">
      <c r="B937" s="102"/>
      <c r="D937" s="123"/>
      <c r="E937" s="100"/>
    </row>
    <row r="938" spans="2:5" ht="13.5" customHeight="1">
      <c r="B938" s="102"/>
      <c r="D938" s="123"/>
      <c r="E938" s="100"/>
    </row>
    <row r="939" spans="2:5" ht="13.5" customHeight="1">
      <c r="B939" s="102"/>
      <c r="D939" s="123"/>
      <c r="E939" s="100"/>
    </row>
    <row r="940" spans="2:5" ht="13.5" customHeight="1">
      <c r="B940" s="102"/>
      <c r="D940" s="123"/>
      <c r="E940" s="100"/>
    </row>
    <row r="941" spans="2:5" ht="13.5" customHeight="1">
      <c r="B941" s="102"/>
      <c r="D941" s="123"/>
      <c r="E941" s="100"/>
    </row>
    <row r="942" spans="2:5" ht="13.5" customHeight="1">
      <c r="B942" s="102"/>
      <c r="D942" s="123"/>
      <c r="E942" s="100"/>
    </row>
    <row r="943" spans="2:5" ht="13.5" customHeight="1">
      <c r="B943" s="102"/>
      <c r="D943" s="123"/>
      <c r="E943" s="100"/>
    </row>
    <row r="944" spans="2:5" ht="13.5" customHeight="1">
      <c r="B944" s="102"/>
      <c r="D944" s="123"/>
      <c r="E944" s="100"/>
    </row>
    <row r="945" spans="2:5" ht="13.5" customHeight="1">
      <c r="B945" s="102"/>
      <c r="D945" s="123"/>
      <c r="E945" s="100"/>
    </row>
    <row r="946" spans="2:5" ht="13.5" customHeight="1">
      <c r="B946" s="102"/>
      <c r="D946" s="123"/>
      <c r="E946" s="100"/>
    </row>
    <row r="947" spans="2:5" ht="13.5" customHeight="1">
      <c r="B947" s="102"/>
      <c r="D947" s="123"/>
      <c r="E947" s="100"/>
    </row>
    <row r="948" spans="2:5" ht="13.5" customHeight="1">
      <c r="B948" s="102"/>
      <c r="D948" s="123"/>
      <c r="E948" s="100"/>
    </row>
    <row r="949" spans="2:5" ht="13.5" customHeight="1">
      <c r="B949" s="102"/>
      <c r="D949" s="123"/>
      <c r="E949" s="100"/>
    </row>
    <row r="950" spans="2:5" ht="13.5" customHeight="1">
      <c r="B950" s="102"/>
      <c r="D950" s="123"/>
      <c r="E950" s="100"/>
    </row>
    <row r="951" spans="2:5" ht="13.5" customHeight="1">
      <c r="B951" s="102"/>
      <c r="D951" s="123"/>
      <c r="E951" s="100"/>
    </row>
    <row r="952" spans="2:5" ht="13.5" customHeight="1">
      <c r="B952" s="102"/>
      <c r="D952" s="123"/>
      <c r="E952" s="100"/>
    </row>
    <row r="953" spans="2:5" ht="13.5" customHeight="1">
      <c r="B953" s="102"/>
      <c r="D953" s="123"/>
      <c r="E953" s="100"/>
    </row>
    <row r="954" spans="2:5" ht="13.5" customHeight="1">
      <c r="B954" s="102"/>
      <c r="D954" s="123"/>
      <c r="E954" s="100"/>
    </row>
    <row r="955" spans="2:5" ht="13.5" customHeight="1">
      <c r="B955" s="102"/>
      <c r="D955" s="123"/>
      <c r="E955" s="100"/>
    </row>
    <row r="956" spans="2:5" ht="13.5" customHeight="1">
      <c r="B956" s="102"/>
      <c r="D956" s="123"/>
      <c r="E956" s="100"/>
    </row>
    <row r="957" spans="2:5" ht="13.5" customHeight="1">
      <c r="B957" s="102"/>
      <c r="D957" s="123"/>
      <c r="E957" s="100"/>
    </row>
    <row r="958" spans="2:5" ht="13.5" customHeight="1">
      <c r="B958" s="102"/>
      <c r="D958" s="123"/>
      <c r="E958" s="100"/>
    </row>
    <row r="959" spans="2:5" ht="13.5" customHeight="1">
      <c r="B959" s="102"/>
      <c r="D959" s="123"/>
      <c r="E959" s="100"/>
    </row>
    <row r="960" spans="2:5" ht="13.5" customHeight="1">
      <c r="B960" s="102"/>
      <c r="D960" s="123"/>
      <c r="E960" s="100"/>
    </row>
    <row r="961" spans="2:5" ht="13.5" customHeight="1">
      <c r="B961" s="102"/>
      <c r="D961" s="123"/>
      <c r="E961" s="100"/>
    </row>
    <row r="962" spans="2:5" ht="13.5" customHeight="1">
      <c r="B962" s="102"/>
      <c r="D962" s="123"/>
      <c r="E962" s="100"/>
    </row>
    <row r="963" spans="2:5" ht="13.5" customHeight="1">
      <c r="B963" s="102"/>
      <c r="D963" s="123"/>
      <c r="E963" s="100"/>
    </row>
    <row r="964" spans="2:5" ht="13.5" customHeight="1">
      <c r="B964" s="102"/>
      <c r="D964" s="123"/>
      <c r="E964" s="100"/>
    </row>
    <row r="965" spans="2:5" ht="13.5" customHeight="1">
      <c r="B965" s="102"/>
      <c r="D965" s="123"/>
      <c r="E965" s="100"/>
    </row>
    <row r="966" spans="2:5" ht="13.5" customHeight="1">
      <c r="B966" s="102"/>
      <c r="D966" s="123"/>
      <c r="E966" s="100"/>
    </row>
    <row r="967" spans="2:5" ht="13.5" customHeight="1">
      <c r="B967" s="102"/>
      <c r="D967" s="123"/>
      <c r="E967" s="100"/>
    </row>
    <row r="968" spans="2:5" ht="13.5" customHeight="1">
      <c r="B968" s="102"/>
      <c r="D968" s="123"/>
      <c r="E968" s="100"/>
    </row>
    <row r="969" spans="2:5" ht="13.5" customHeight="1">
      <c r="B969" s="102"/>
      <c r="D969" s="123"/>
      <c r="E969" s="100"/>
    </row>
    <row r="970" spans="2:5" ht="13.5" customHeight="1">
      <c r="B970" s="102"/>
      <c r="D970" s="123"/>
      <c r="E970" s="100"/>
    </row>
    <row r="971" spans="2:5" ht="13.5" customHeight="1">
      <c r="B971" s="102"/>
      <c r="D971" s="123"/>
      <c r="E971" s="100"/>
    </row>
    <row r="972" spans="2:5" ht="13.5" customHeight="1">
      <c r="B972" s="102"/>
      <c r="D972" s="123"/>
      <c r="E972" s="100"/>
    </row>
    <row r="973" spans="2:5" ht="13.5" customHeight="1">
      <c r="B973" s="102"/>
      <c r="D973" s="123"/>
      <c r="E973" s="100"/>
    </row>
    <row r="974" spans="2:5" ht="13.5" customHeight="1">
      <c r="B974" s="102"/>
      <c r="D974" s="123"/>
      <c r="E974" s="100"/>
    </row>
    <row r="975" spans="2:5" ht="13.5" customHeight="1">
      <c r="B975" s="102"/>
      <c r="D975" s="123"/>
      <c r="E975" s="100"/>
    </row>
    <row r="976" spans="2:5" ht="13.5" customHeight="1">
      <c r="B976" s="102"/>
      <c r="D976" s="123"/>
      <c r="E976" s="100"/>
    </row>
    <row r="977" spans="2:5" ht="13.5" customHeight="1">
      <c r="B977" s="102"/>
      <c r="D977" s="123"/>
      <c r="E977" s="100"/>
    </row>
    <row r="978" spans="2:5" ht="13.5" customHeight="1">
      <c r="B978" s="102"/>
      <c r="D978" s="123"/>
      <c r="E978" s="100"/>
    </row>
    <row r="979" spans="2:5" ht="13.5" customHeight="1">
      <c r="B979" s="102"/>
      <c r="D979" s="123"/>
      <c r="E979" s="100"/>
    </row>
    <row r="980" spans="2:5" ht="13.5" customHeight="1">
      <c r="B980" s="102"/>
      <c r="D980" s="123"/>
      <c r="E980" s="100"/>
    </row>
    <row r="981" spans="2:5" ht="13.5" customHeight="1">
      <c r="B981" s="102"/>
      <c r="D981" s="123"/>
      <c r="E981" s="100"/>
    </row>
    <row r="982" spans="2:5" ht="13.5" customHeight="1">
      <c r="B982" s="102"/>
      <c r="D982" s="123"/>
      <c r="E982" s="100"/>
    </row>
    <row r="983" spans="2:5" ht="13.5" customHeight="1">
      <c r="B983" s="102"/>
      <c r="D983" s="123"/>
      <c r="E983" s="100"/>
    </row>
    <row r="984" spans="2:5" ht="13.5" customHeight="1">
      <c r="B984" s="102"/>
      <c r="D984" s="123"/>
      <c r="E984" s="100"/>
    </row>
    <row r="985" spans="2:5" ht="13.5" customHeight="1">
      <c r="B985" s="102"/>
      <c r="D985" s="123"/>
      <c r="E985" s="100"/>
    </row>
    <row r="986" spans="2:5" ht="13.5" customHeight="1">
      <c r="B986" s="102"/>
      <c r="D986" s="123"/>
      <c r="E986" s="100"/>
    </row>
    <row r="987" spans="2:5" ht="13.5" customHeight="1">
      <c r="B987" s="102"/>
      <c r="D987" s="123"/>
      <c r="E987" s="100"/>
    </row>
    <row r="988" spans="2:5" ht="13.5" customHeight="1">
      <c r="B988" s="102"/>
      <c r="D988" s="123"/>
      <c r="E988" s="100"/>
    </row>
    <row r="989" spans="2:5" ht="13.5" customHeight="1">
      <c r="B989" s="102"/>
      <c r="D989" s="123"/>
      <c r="E989" s="100"/>
    </row>
    <row r="990" spans="2:5" ht="13.5" customHeight="1">
      <c r="B990" s="102"/>
      <c r="D990" s="123"/>
      <c r="E990" s="100"/>
    </row>
    <row r="991" spans="2:5" ht="13.5" customHeight="1">
      <c r="B991" s="102"/>
      <c r="D991" s="123"/>
      <c r="E991" s="100"/>
    </row>
    <row r="992" spans="2:5" ht="13.5" customHeight="1">
      <c r="B992" s="102"/>
      <c r="D992" s="123"/>
      <c r="E992" s="100"/>
    </row>
    <row r="993" spans="2:5" ht="13.5" customHeight="1">
      <c r="B993" s="102"/>
      <c r="D993" s="123"/>
      <c r="E993" s="100"/>
    </row>
    <row r="994" spans="2:5" ht="13.5" customHeight="1">
      <c r="B994" s="102"/>
      <c r="D994" s="123"/>
      <c r="E994" s="100"/>
    </row>
    <row r="995" spans="2:5" ht="13.5" customHeight="1">
      <c r="B995" s="102"/>
      <c r="D995" s="123"/>
      <c r="E995" s="100"/>
    </row>
    <row r="996" spans="2:5" ht="13.5" customHeight="1">
      <c r="B996" s="102"/>
      <c r="D996" s="123"/>
      <c r="E996" s="100"/>
    </row>
    <row r="997" spans="2:5" ht="13.5" customHeight="1">
      <c r="B997" s="102"/>
      <c r="D997" s="123"/>
      <c r="E997" s="100"/>
    </row>
    <row r="998" spans="2:5" ht="13.5" customHeight="1">
      <c r="B998" s="102"/>
      <c r="D998" s="123"/>
      <c r="E998" s="100"/>
    </row>
    <row r="999" spans="2:5" ht="13.5" customHeight="1">
      <c r="B999" s="102"/>
      <c r="D999" s="123"/>
      <c r="E999" s="100"/>
    </row>
    <row r="1000" spans="2:5" ht="13.5" customHeight="1">
      <c r="B1000" s="102"/>
      <c r="D1000" s="123"/>
      <c r="E1000" s="100"/>
    </row>
  </sheetData>
  <mergeCells count="109">
    <mergeCell ref="G17:G18"/>
    <mergeCell ref="H17:H18"/>
    <mergeCell ref="F19:F20"/>
    <mergeCell ref="G19:G20"/>
    <mergeCell ref="H19:H20"/>
    <mergeCell ref="G37:G38"/>
    <mergeCell ref="H37:H38"/>
    <mergeCell ref="F21:F22"/>
    <mergeCell ref="G21:G22"/>
    <mergeCell ref="H21:H22"/>
    <mergeCell ref="F23:F24"/>
    <mergeCell ref="G23:G24"/>
    <mergeCell ref="H23:H24"/>
    <mergeCell ref="F37:F38"/>
    <mergeCell ref="A11:A12"/>
    <mergeCell ref="A13:A14"/>
    <mergeCell ref="B13:B14"/>
    <mergeCell ref="A15:A16"/>
    <mergeCell ref="B15:B16"/>
    <mergeCell ref="A17:A18"/>
    <mergeCell ref="B17:B18"/>
    <mergeCell ref="F15:F16"/>
    <mergeCell ref="F17:F18"/>
    <mergeCell ref="B11:B12"/>
    <mergeCell ref="E17:E18"/>
    <mergeCell ref="H11:H12"/>
    <mergeCell ref="F11:F12"/>
    <mergeCell ref="G11:G12"/>
    <mergeCell ref="F13:F14"/>
    <mergeCell ref="G13:G14"/>
    <mergeCell ref="H13:H14"/>
    <mergeCell ref="G15:G16"/>
    <mergeCell ref="H15:H16"/>
    <mergeCell ref="C6:D6"/>
    <mergeCell ref="E11:E12"/>
    <mergeCell ref="E13:E14"/>
    <mergeCell ref="E15:E16"/>
    <mergeCell ref="A7:A8"/>
    <mergeCell ref="B7:B8"/>
    <mergeCell ref="E7:E8"/>
    <mergeCell ref="F7:F8"/>
    <mergeCell ref="G7:G8"/>
    <mergeCell ref="H7:H8"/>
    <mergeCell ref="A9:A10"/>
    <mergeCell ref="B9:B10"/>
    <mergeCell ref="F9:F10"/>
    <mergeCell ref="G9:G10"/>
    <mergeCell ref="H9:H10"/>
    <mergeCell ref="E9:E10"/>
    <mergeCell ref="G49:G50"/>
    <mergeCell ref="H49:H50"/>
    <mergeCell ref="F51:F52"/>
    <mergeCell ref="G51:G52"/>
    <mergeCell ref="H51:H52"/>
    <mergeCell ref="F53:F54"/>
    <mergeCell ref="G53:G54"/>
    <mergeCell ref="H53:H54"/>
    <mergeCell ref="F45:F46"/>
    <mergeCell ref="G45:G46"/>
    <mergeCell ref="H45:H46"/>
    <mergeCell ref="F47:F48"/>
    <mergeCell ref="G47:G48"/>
    <mergeCell ref="H47:H48"/>
    <mergeCell ref="F49:F50"/>
    <mergeCell ref="G43:G44"/>
    <mergeCell ref="H43:H44"/>
    <mergeCell ref="F39:F40"/>
    <mergeCell ref="G39:G40"/>
    <mergeCell ref="H39:H40"/>
    <mergeCell ref="F41:F42"/>
    <mergeCell ref="G41:G42"/>
    <mergeCell ref="H41:H42"/>
    <mergeCell ref="F43:F44"/>
    <mergeCell ref="B39:B40"/>
    <mergeCell ref="B41:B42"/>
    <mergeCell ref="B43:B44"/>
    <mergeCell ref="B45:B46"/>
    <mergeCell ref="B47:B48"/>
    <mergeCell ref="B49:B50"/>
    <mergeCell ref="B51:B52"/>
    <mergeCell ref="B53:B54"/>
    <mergeCell ref="A19:A20"/>
    <mergeCell ref="B19:B20"/>
    <mergeCell ref="A21:A22"/>
    <mergeCell ref="B21:B22"/>
    <mergeCell ref="A23:A24"/>
    <mergeCell ref="B23:B24"/>
    <mergeCell ref="B37:B38"/>
    <mergeCell ref="A51:A52"/>
    <mergeCell ref="A53:A54"/>
    <mergeCell ref="A37:A38"/>
    <mergeCell ref="A39:A40"/>
    <mergeCell ref="A41:A42"/>
    <mergeCell ref="A43:A44"/>
    <mergeCell ref="A45:A46"/>
    <mergeCell ref="A47:A48"/>
    <mergeCell ref="A49:A50"/>
    <mergeCell ref="E19:E20"/>
    <mergeCell ref="E21:E22"/>
    <mergeCell ref="E49:E50"/>
    <mergeCell ref="E51:E52"/>
    <mergeCell ref="E53:E54"/>
    <mergeCell ref="E23:E24"/>
    <mergeCell ref="E37:E38"/>
    <mergeCell ref="E39:E40"/>
    <mergeCell ref="E41:E42"/>
    <mergeCell ref="E43:E44"/>
    <mergeCell ref="E45:E46"/>
    <mergeCell ref="E47:E48"/>
  </mergeCells>
  <pageMargins left="0.39370078740157483" right="0.70866141732283472" top="0" bottom="0" header="0" footer="0"/>
  <pageSetup paperSize="9" scale="93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/>
  <cols>
    <col min="1" max="1" width="4.5546875" customWidth="1"/>
    <col min="2" max="2" width="9" customWidth="1"/>
    <col min="3" max="3" width="5.44140625" customWidth="1"/>
    <col min="4" max="4" width="3.33203125" customWidth="1"/>
    <col min="5" max="5" width="9" customWidth="1"/>
    <col min="6" max="6" width="7" customWidth="1"/>
    <col min="7" max="7" width="8.88671875" customWidth="1"/>
    <col min="8" max="9" width="8.6640625" customWidth="1"/>
    <col min="10" max="10" width="12.5546875" customWidth="1"/>
    <col min="11" max="26" width="8.6640625" customWidth="1"/>
  </cols>
  <sheetData>
    <row r="1" spans="1:26" ht="48" customHeight="1">
      <c r="B1" s="102" t="s">
        <v>147</v>
      </c>
      <c r="C1" s="102"/>
      <c r="D1" s="103"/>
      <c r="E1" s="104"/>
      <c r="F1" s="100"/>
    </row>
    <row r="2" spans="1:26" ht="15.75" customHeight="1">
      <c r="B2" s="102" t="s">
        <v>148</v>
      </c>
      <c r="C2" s="102"/>
      <c r="D2" s="103"/>
      <c r="E2" s="104"/>
      <c r="F2" s="100"/>
    </row>
    <row r="3" spans="1:26" ht="18.75" customHeight="1">
      <c r="B3" s="102"/>
      <c r="C3" s="102"/>
      <c r="D3" s="103"/>
      <c r="E3" s="104"/>
      <c r="F3" s="100"/>
    </row>
    <row r="4" spans="1:26" ht="14.25" customHeight="1">
      <c r="B4" s="102"/>
      <c r="C4" s="102"/>
      <c r="D4" s="103"/>
      <c r="E4" s="104"/>
      <c r="F4" s="100"/>
    </row>
    <row r="5" spans="1:26" ht="15.75" customHeight="1">
      <c r="B5" s="102"/>
      <c r="C5" s="102"/>
      <c r="D5" s="103"/>
      <c r="E5" s="104"/>
      <c r="F5" s="100"/>
    </row>
    <row r="6" spans="1:26" ht="15.75" customHeight="1">
      <c r="B6" s="102"/>
      <c r="C6" s="102"/>
      <c r="D6" s="103"/>
      <c r="E6" s="104"/>
      <c r="F6" s="100"/>
    </row>
    <row r="7" spans="1:26" ht="15" customHeight="1">
      <c r="A7" s="58" t="s">
        <v>149</v>
      </c>
      <c r="B7" s="134"/>
      <c r="C7" s="205" t="s">
        <v>154</v>
      </c>
      <c r="D7" s="177"/>
      <c r="E7" s="133"/>
      <c r="F7" s="58" t="s">
        <v>136</v>
      </c>
      <c r="G7" s="58" t="s">
        <v>130</v>
      </c>
      <c r="H7" s="58"/>
      <c r="I7" s="58"/>
      <c r="J7" s="106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spans="1:26" ht="15" customHeight="1">
      <c r="A8" s="197"/>
      <c r="B8" s="194" t="s">
        <v>155</v>
      </c>
      <c r="C8" s="107"/>
      <c r="D8" s="108"/>
      <c r="E8" s="109" t="s">
        <v>156</v>
      </c>
      <c r="F8" s="191">
        <v>200</v>
      </c>
      <c r="G8" s="197"/>
      <c r="H8" s="197"/>
      <c r="I8" s="197"/>
      <c r="J8" s="198"/>
    </row>
    <row r="9" spans="1:26" ht="15" customHeight="1">
      <c r="A9" s="192"/>
      <c r="B9" s="195"/>
      <c r="C9" s="135"/>
      <c r="D9" s="108"/>
      <c r="E9" s="109" t="s">
        <v>157</v>
      </c>
      <c r="F9" s="192"/>
      <c r="G9" s="192"/>
      <c r="H9" s="192"/>
      <c r="I9" s="192"/>
      <c r="J9" s="199"/>
    </row>
    <row r="10" spans="1:26" ht="15" customHeight="1">
      <c r="A10" s="197"/>
      <c r="B10" s="194"/>
      <c r="C10" s="107"/>
      <c r="D10" s="108"/>
      <c r="E10" s="109"/>
      <c r="F10" s="191"/>
      <c r="G10" s="197"/>
      <c r="H10" s="197"/>
      <c r="I10" s="197"/>
      <c r="J10" s="198"/>
    </row>
    <row r="11" spans="1:26" ht="15" customHeight="1">
      <c r="A11" s="192"/>
      <c r="B11" s="195"/>
      <c r="C11" s="135"/>
      <c r="D11" s="108"/>
      <c r="E11" s="109"/>
      <c r="F11" s="192"/>
      <c r="G11" s="192"/>
      <c r="H11" s="192"/>
      <c r="I11" s="192"/>
      <c r="J11" s="199"/>
    </row>
    <row r="12" spans="1:26" ht="15" customHeight="1">
      <c r="A12" s="197"/>
      <c r="B12" s="196" t="s">
        <v>158</v>
      </c>
      <c r="C12" s="110"/>
      <c r="D12" s="108"/>
      <c r="E12" s="109" t="s">
        <v>159</v>
      </c>
      <c r="F12" s="191">
        <v>200</v>
      </c>
      <c r="G12" s="197"/>
      <c r="H12" s="197"/>
      <c r="I12" s="197"/>
      <c r="J12" s="198"/>
    </row>
    <row r="13" spans="1:26" ht="15" customHeight="1">
      <c r="A13" s="192"/>
      <c r="B13" s="192"/>
      <c r="C13" s="136"/>
      <c r="D13" s="108"/>
      <c r="E13" s="111" t="s">
        <v>160</v>
      </c>
      <c r="F13" s="192"/>
      <c r="G13" s="192"/>
      <c r="H13" s="192"/>
      <c r="I13" s="192"/>
      <c r="J13" s="199"/>
    </row>
    <row r="14" spans="1:26" ht="15" customHeight="1">
      <c r="A14" s="197"/>
      <c r="B14" s="194"/>
      <c r="C14" s="107"/>
      <c r="D14" s="108"/>
      <c r="E14" s="109"/>
      <c r="F14" s="191"/>
      <c r="G14" s="197"/>
      <c r="H14" s="197"/>
      <c r="I14" s="197"/>
      <c r="J14" s="198"/>
    </row>
    <row r="15" spans="1:26" ht="15" customHeight="1">
      <c r="A15" s="192"/>
      <c r="B15" s="195"/>
      <c r="C15" s="135"/>
      <c r="D15" s="108"/>
      <c r="E15" s="109"/>
      <c r="F15" s="192"/>
      <c r="G15" s="192"/>
      <c r="H15" s="192"/>
      <c r="I15" s="192"/>
      <c r="J15" s="199"/>
    </row>
    <row r="16" spans="1:26" ht="30" customHeight="1">
      <c r="A16" s="137"/>
      <c r="B16" s="138" t="s">
        <v>161</v>
      </c>
      <c r="C16" s="139"/>
      <c r="D16" s="108"/>
      <c r="E16" s="109" t="s">
        <v>162</v>
      </c>
      <c r="F16" s="85">
        <v>200</v>
      </c>
      <c r="G16" s="137"/>
      <c r="H16" s="137"/>
      <c r="I16" s="137"/>
      <c r="J16" s="140"/>
    </row>
    <row r="17" spans="1:10" ht="15" customHeight="1">
      <c r="A17" s="197"/>
      <c r="B17" s="194"/>
      <c r="C17" s="107"/>
      <c r="D17" s="108"/>
      <c r="E17" s="109"/>
      <c r="F17" s="191"/>
      <c r="G17" s="197"/>
      <c r="H17" s="197"/>
      <c r="I17" s="197"/>
      <c r="J17" s="198"/>
    </row>
    <row r="18" spans="1:10" ht="15" customHeight="1">
      <c r="A18" s="192"/>
      <c r="B18" s="195"/>
      <c r="C18" s="135"/>
      <c r="D18" s="108"/>
      <c r="E18" s="109"/>
      <c r="F18" s="192"/>
      <c r="G18" s="192"/>
      <c r="H18" s="192"/>
      <c r="I18" s="192"/>
      <c r="J18" s="199"/>
    </row>
    <row r="19" spans="1:10" ht="15" customHeight="1">
      <c r="A19" s="197"/>
      <c r="B19" s="196" t="s">
        <v>163</v>
      </c>
      <c r="C19" s="107"/>
      <c r="D19" s="112"/>
      <c r="E19" s="113" t="s">
        <v>164</v>
      </c>
      <c r="F19" s="191">
        <v>200</v>
      </c>
      <c r="G19" s="197"/>
      <c r="H19" s="197"/>
      <c r="I19" s="197"/>
      <c r="J19" s="198"/>
    </row>
    <row r="20" spans="1:10" ht="15" customHeight="1">
      <c r="A20" s="192"/>
      <c r="B20" s="192"/>
      <c r="C20" s="135"/>
      <c r="D20" s="114"/>
      <c r="E20" s="109" t="s">
        <v>165</v>
      </c>
      <c r="F20" s="192"/>
      <c r="G20" s="192"/>
      <c r="H20" s="192"/>
      <c r="I20" s="192"/>
      <c r="J20" s="199"/>
    </row>
    <row r="21" spans="1:10" ht="15" customHeight="1">
      <c r="A21" s="197"/>
      <c r="B21" s="194"/>
      <c r="C21" s="107"/>
      <c r="D21" s="108"/>
      <c r="E21" s="109"/>
      <c r="F21" s="191"/>
      <c r="G21" s="197"/>
      <c r="H21" s="197"/>
      <c r="I21" s="197"/>
      <c r="J21" s="198"/>
    </row>
    <row r="22" spans="1:10" ht="15" customHeight="1">
      <c r="A22" s="192"/>
      <c r="B22" s="195"/>
      <c r="C22" s="135"/>
      <c r="D22" s="108"/>
      <c r="E22" s="109"/>
      <c r="F22" s="192"/>
      <c r="G22" s="192"/>
      <c r="H22" s="192"/>
      <c r="I22" s="192"/>
      <c r="J22" s="199"/>
    </row>
    <row r="23" spans="1:10" ht="15" customHeight="1">
      <c r="A23" s="197"/>
      <c r="B23" s="194" t="s">
        <v>95</v>
      </c>
      <c r="C23" s="107"/>
      <c r="D23" s="112"/>
      <c r="E23" s="113"/>
      <c r="F23" s="191">
        <v>200</v>
      </c>
      <c r="G23" s="197"/>
      <c r="H23" s="197"/>
      <c r="I23" s="197"/>
      <c r="J23" s="198"/>
    </row>
    <row r="24" spans="1:10" ht="15" customHeight="1">
      <c r="A24" s="192"/>
      <c r="B24" s="195"/>
      <c r="C24" s="135"/>
      <c r="D24" s="114"/>
      <c r="E24" s="109" t="s">
        <v>166</v>
      </c>
      <c r="F24" s="192"/>
      <c r="G24" s="192"/>
      <c r="H24" s="192"/>
      <c r="I24" s="192"/>
      <c r="J24" s="199"/>
    </row>
    <row r="25" spans="1:10" ht="15" customHeight="1">
      <c r="A25" s="197"/>
      <c r="B25" s="194"/>
      <c r="C25" s="107"/>
      <c r="D25" s="108"/>
      <c r="E25" s="109"/>
      <c r="F25" s="191"/>
      <c r="G25" s="197"/>
      <c r="H25" s="197"/>
      <c r="I25" s="197"/>
      <c r="J25" s="198"/>
    </row>
    <row r="26" spans="1:10" ht="15" customHeight="1">
      <c r="A26" s="192"/>
      <c r="B26" s="195"/>
      <c r="C26" s="135"/>
      <c r="D26" s="108"/>
      <c r="E26" s="109"/>
      <c r="F26" s="192"/>
      <c r="G26" s="192"/>
      <c r="H26" s="192"/>
      <c r="I26" s="192"/>
      <c r="J26" s="199"/>
    </row>
    <row r="27" spans="1:10" ht="12.75" customHeight="1">
      <c r="A27" s="197"/>
      <c r="B27" s="196" t="s">
        <v>167</v>
      </c>
      <c r="C27" s="107"/>
      <c r="D27" s="112"/>
      <c r="E27" s="113" t="s">
        <v>168</v>
      </c>
      <c r="F27" s="191">
        <v>200</v>
      </c>
      <c r="G27" s="197"/>
      <c r="H27" s="197"/>
      <c r="I27" s="197"/>
      <c r="J27" s="198"/>
    </row>
    <row r="28" spans="1:10" ht="12.75" customHeight="1">
      <c r="A28" s="202"/>
      <c r="B28" s="202"/>
      <c r="C28" s="141"/>
      <c r="D28" s="112"/>
      <c r="E28" s="113" t="s">
        <v>169</v>
      </c>
      <c r="F28" s="202"/>
      <c r="G28" s="202"/>
      <c r="H28" s="202"/>
      <c r="I28" s="202"/>
      <c r="J28" s="203"/>
    </row>
    <row r="29" spans="1:10" ht="12.75" customHeight="1">
      <c r="A29" s="192"/>
      <c r="B29" s="192"/>
      <c r="C29" s="141"/>
      <c r="D29" s="112"/>
      <c r="E29" s="113" t="s">
        <v>170</v>
      </c>
      <c r="F29" s="192"/>
      <c r="G29" s="192"/>
      <c r="H29" s="192"/>
      <c r="I29" s="192"/>
      <c r="J29" s="199"/>
    </row>
    <row r="30" spans="1:10" ht="15" customHeight="1">
      <c r="A30" s="197"/>
      <c r="B30" s="194"/>
      <c r="C30" s="107"/>
      <c r="D30" s="108"/>
      <c r="E30" s="109"/>
      <c r="F30" s="191">
        <v>200</v>
      </c>
      <c r="G30" s="197"/>
      <c r="H30" s="197"/>
      <c r="I30" s="197"/>
      <c r="J30" s="198"/>
    </row>
    <row r="31" spans="1:10" ht="15" customHeight="1">
      <c r="A31" s="192"/>
      <c r="B31" s="195"/>
      <c r="C31" s="135"/>
      <c r="D31" s="108"/>
      <c r="E31" s="109"/>
      <c r="F31" s="192"/>
      <c r="G31" s="192"/>
      <c r="H31" s="192"/>
      <c r="I31" s="192"/>
      <c r="J31" s="199"/>
    </row>
    <row r="32" spans="1:10" ht="15" customHeight="1">
      <c r="A32" s="197"/>
      <c r="B32" s="194" t="s">
        <v>171</v>
      </c>
      <c r="C32" s="107"/>
      <c r="D32" s="108"/>
      <c r="E32" s="109" t="s">
        <v>172</v>
      </c>
      <c r="F32" s="191">
        <v>200</v>
      </c>
      <c r="G32" s="197"/>
      <c r="H32" s="204"/>
      <c r="I32" s="197"/>
      <c r="J32" s="198"/>
    </row>
    <row r="33" spans="1:10" ht="15" customHeight="1">
      <c r="A33" s="192"/>
      <c r="B33" s="195"/>
      <c r="C33" s="135"/>
      <c r="D33" s="108"/>
      <c r="E33" s="109" t="s">
        <v>173</v>
      </c>
      <c r="F33" s="192"/>
      <c r="G33" s="192"/>
      <c r="H33" s="192"/>
      <c r="I33" s="192"/>
      <c r="J33" s="199"/>
    </row>
    <row r="34" spans="1:10" ht="15" customHeight="1">
      <c r="A34" s="197"/>
      <c r="B34" s="194"/>
      <c r="C34" s="107"/>
      <c r="D34" s="108"/>
      <c r="E34" s="109"/>
      <c r="F34" s="191"/>
      <c r="G34" s="197"/>
      <c r="H34" s="197"/>
      <c r="I34" s="197"/>
      <c r="J34" s="198"/>
    </row>
    <row r="35" spans="1:10" ht="15" customHeight="1">
      <c r="A35" s="192"/>
      <c r="B35" s="195"/>
      <c r="C35" s="135"/>
      <c r="D35" s="108"/>
      <c r="E35" s="109"/>
      <c r="F35" s="192"/>
      <c r="G35" s="192"/>
      <c r="H35" s="192"/>
      <c r="I35" s="192"/>
      <c r="J35" s="199"/>
    </row>
    <row r="36" spans="1:10" ht="12.75" customHeight="1">
      <c r="A36" s="197"/>
      <c r="B36" s="196" t="s">
        <v>174</v>
      </c>
      <c r="C36" s="107"/>
      <c r="D36" s="112"/>
      <c r="E36" s="113" t="s">
        <v>175</v>
      </c>
      <c r="F36" s="191">
        <v>200</v>
      </c>
      <c r="G36" s="197"/>
      <c r="H36" s="197"/>
      <c r="I36" s="197"/>
      <c r="J36" s="198"/>
    </row>
    <row r="37" spans="1:10" ht="12.75" customHeight="1">
      <c r="A37" s="202"/>
      <c r="B37" s="202"/>
      <c r="C37" s="141"/>
      <c r="D37" s="112"/>
      <c r="E37" s="113" t="s">
        <v>176</v>
      </c>
      <c r="F37" s="202"/>
      <c r="G37" s="202"/>
      <c r="H37" s="202"/>
      <c r="I37" s="202"/>
      <c r="J37" s="203"/>
    </row>
    <row r="38" spans="1:10" ht="12.75" customHeight="1">
      <c r="A38" s="192"/>
      <c r="B38" s="192"/>
      <c r="C38" s="141"/>
      <c r="D38" s="112"/>
      <c r="E38" s="113" t="s">
        <v>177</v>
      </c>
      <c r="F38" s="192"/>
      <c r="G38" s="192"/>
      <c r="H38" s="192"/>
      <c r="I38" s="192"/>
      <c r="J38" s="199"/>
    </row>
    <row r="39" spans="1:10" ht="15" customHeight="1">
      <c r="A39" s="197"/>
      <c r="B39" s="194"/>
      <c r="C39" s="107"/>
      <c r="D39" s="108"/>
      <c r="E39" s="109"/>
      <c r="F39" s="191">
        <v>200</v>
      </c>
      <c r="G39" s="197"/>
      <c r="H39" s="197"/>
      <c r="I39" s="197"/>
      <c r="J39" s="198"/>
    </row>
    <row r="40" spans="1:10" ht="15" customHeight="1">
      <c r="A40" s="192"/>
      <c r="B40" s="195"/>
      <c r="C40" s="135"/>
      <c r="D40" s="108"/>
      <c r="E40" s="109"/>
      <c r="F40" s="192"/>
      <c r="G40" s="192"/>
      <c r="H40" s="192"/>
      <c r="I40" s="192"/>
      <c r="J40" s="199"/>
    </row>
    <row r="41" spans="1:10" ht="15" customHeight="1">
      <c r="A41" s="197"/>
      <c r="B41" s="194" t="s">
        <v>178</v>
      </c>
      <c r="C41" s="107"/>
      <c r="D41" s="112"/>
      <c r="E41" s="113" t="s">
        <v>179</v>
      </c>
      <c r="F41" s="191">
        <v>200</v>
      </c>
      <c r="G41" s="197"/>
      <c r="H41" s="197"/>
      <c r="I41" s="197"/>
      <c r="J41" s="198"/>
    </row>
    <row r="42" spans="1:10" ht="15" customHeight="1">
      <c r="A42" s="192"/>
      <c r="B42" s="195"/>
      <c r="C42" s="135"/>
      <c r="D42" s="114"/>
      <c r="E42" s="109" t="s">
        <v>180</v>
      </c>
      <c r="F42" s="192"/>
      <c r="G42" s="192"/>
      <c r="H42" s="192"/>
      <c r="I42" s="192"/>
      <c r="J42" s="199"/>
    </row>
    <row r="43" spans="1:10" ht="15" customHeight="1">
      <c r="A43" s="197"/>
      <c r="B43" s="194"/>
      <c r="C43" s="107"/>
      <c r="D43" s="108"/>
      <c r="E43" s="109"/>
      <c r="F43" s="191">
        <v>200</v>
      </c>
      <c r="G43" s="197"/>
      <c r="H43" s="197"/>
      <c r="I43" s="197"/>
      <c r="J43" s="198"/>
    </row>
    <row r="44" spans="1:10" ht="15" customHeight="1">
      <c r="A44" s="192"/>
      <c r="B44" s="195"/>
      <c r="C44" s="135"/>
      <c r="D44" s="108"/>
      <c r="E44" s="109"/>
      <c r="F44" s="192"/>
      <c r="G44" s="192"/>
      <c r="H44" s="192"/>
      <c r="I44" s="192"/>
      <c r="J44" s="199"/>
    </row>
    <row r="45" spans="1:10" ht="30" customHeight="1">
      <c r="A45" s="137"/>
      <c r="B45" s="107" t="s">
        <v>181</v>
      </c>
      <c r="C45" s="107"/>
      <c r="D45" s="112"/>
      <c r="E45" s="113"/>
      <c r="F45" s="85">
        <v>200</v>
      </c>
      <c r="G45" s="137"/>
      <c r="H45" s="137"/>
      <c r="I45" s="137"/>
      <c r="J45" s="140"/>
    </row>
    <row r="46" spans="1:10" ht="15" customHeight="1">
      <c r="A46" s="197"/>
      <c r="B46" s="196"/>
      <c r="C46" s="107"/>
      <c r="D46" s="108"/>
      <c r="E46" s="109"/>
      <c r="F46" s="191">
        <v>200</v>
      </c>
      <c r="G46" s="197"/>
      <c r="H46" s="197"/>
      <c r="I46" s="197"/>
      <c r="J46" s="198"/>
    </row>
    <row r="47" spans="1:10" ht="15" customHeight="1">
      <c r="A47" s="192"/>
      <c r="B47" s="192"/>
      <c r="C47" s="135"/>
      <c r="D47" s="108"/>
      <c r="E47" s="109"/>
      <c r="F47" s="192"/>
      <c r="G47" s="192"/>
      <c r="H47" s="192"/>
      <c r="I47" s="192"/>
      <c r="J47" s="199"/>
    </row>
    <row r="48" spans="1:10" ht="30" customHeight="1">
      <c r="A48" s="137"/>
      <c r="B48" s="107" t="s">
        <v>182</v>
      </c>
      <c r="C48" s="107"/>
      <c r="D48" s="112"/>
      <c r="E48" s="113"/>
      <c r="F48" s="85">
        <v>200</v>
      </c>
      <c r="G48" s="137"/>
      <c r="H48" s="137"/>
      <c r="I48" s="137"/>
      <c r="J48" s="140"/>
    </row>
    <row r="49" spans="1:10" ht="15" customHeight="1">
      <c r="A49" s="197"/>
      <c r="B49" s="196"/>
      <c r="C49" s="107"/>
      <c r="D49" s="108"/>
      <c r="E49" s="109"/>
      <c r="F49" s="191">
        <v>200</v>
      </c>
      <c r="G49" s="197"/>
      <c r="H49" s="197"/>
      <c r="I49" s="197"/>
      <c r="J49" s="198"/>
    </row>
    <row r="50" spans="1:10" ht="15" customHeight="1">
      <c r="A50" s="192"/>
      <c r="B50" s="192"/>
      <c r="C50" s="135"/>
      <c r="D50" s="108"/>
      <c r="E50" s="109"/>
      <c r="F50" s="192"/>
      <c r="G50" s="192"/>
      <c r="H50" s="192"/>
      <c r="I50" s="192"/>
      <c r="J50" s="199"/>
    </row>
    <row r="51" spans="1:10" ht="15" customHeight="1">
      <c r="A51" s="197"/>
      <c r="B51" s="196" t="s">
        <v>183</v>
      </c>
      <c r="C51" s="107"/>
      <c r="D51" s="112"/>
      <c r="E51" s="113"/>
      <c r="F51" s="191">
        <v>200</v>
      </c>
      <c r="G51" s="197"/>
      <c r="H51" s="197"/>
      <c r="I51" s="197"/>
      <c r="J51" s="198"/>
    </row>
    <row r="52" spans="1:10" ht="15" customHeight="1">
      <c r="A52" s="193"/>
      <c r="B52" s="193"/>
      <c r="C52" s="142"/>
      <c r="D52" s="115"/>
      <c r="E52" s="116"/>
      <c r="F52" s="193"/>
      <c r="G52" s="193"/>
      <c r="H52" s="193"/>
      <c r="I52" s="193"/>
      <c r="J52" s="200"/>
    </row>
    <row r="53" spans="1:10" ht="15" customHeight="1">
      <c r="A53" s="117"/>
      <c r="B53" s="118" t="s">
        <v>115</v>
      </c>
      <c r="C53" s="118"/>
      <c r="D53" s="119"/>
      <c r="E53" s="120"/>
      <c r="F53" s="121"/>
      <c r="G53" s="117"/>
      <c r="H53" s="117"/>
      <c r="I53" s="117"/>
      <c r="J53" s="122"/>
    </row>
    <row r="54" spans="1:10" ht="9" customHeight="1">
      <c r="B54" s="102"/>
      <c r="C54" s="102"/>
      <c r="E54" s="123"/>
      <c r="F54" s="100"/>
    </row>
    <row r="55" spans="1:10" ht="13.5" customHeight="1">
      <c r="B55" s="124" t="s">
        <v>136</v>
      </c>
      <c r="C55" s="124"/>
      <c r="D55" s="125" t="s">
        <v>152</v>
      </c>
      <c r="E55" s="126">
        <v>600</v>
      </c>
      <c r="F55" s="127"/>
      <c r="G55" s="125" t="s">
        <v>153</v>
      </c>
    </row>
    <row r="56" spans="1:10" ht="13.5" customHeight="1">
      <c r="B56" s="102"/>
      <c r="C56" s="102"/>
      <c r="E56" s="123"/>
      <c r="F56" s="100"/>
    </row>
    <row r="57" spans="1:10" ht="13.5" customHeight="1">
      <c r="B57" s="102"/>
      <c r="C57" s="102"/>
      <c r="E57" s="123"/>
      <c r="F57" s="100"/>
    </row>
    <row r="58" spans="1:10" ht="13.5" customHeight="1">
      <c r="B58" s="102"/>
      <c r="C58" s="102"/>
      <c r="E58" s="123"/>
      <c r="F58" s="100"/>
    </row>
    <row r="59" spans="1:10" ht="13.5" customHeight="1">
      <c r="B59" s="102"/>
      <c r="C59" s="102"/>
      <c r="E59" s="123"/>
      <c r="F59" s="100"/>
    </row>
    <row r="60" spans="1:10" ht="13.5" customHeight="1">
      <c r="B60" s="102"/>
      <c r="C60" s="102"/>
      <c r="E60" s="123"/>
      <c r="F60" s="100"/>
    </row>
    <row r="61" spans="1:10" ht="13.5" customHeight="1">
      <c r="B61" s="102"/>
      <c r="C61" s="102"/>
      <c r="E61" s="123"/>
      <c r="F61" s="100"/>
    </row>
    <row r="62" spans="1:10" ht="13.5" customHeight="1">
      <c r="B62" s="102"/>
      <c r="C62" s="102"/>
      <c r="E62" s="123"/>
      <c r="F62" s="100"/>
    </row>
    <row r="63" spans="1:10" ht="13.5" customHeight="1">
      <c r="B63" s="102"/>
      <c r="C63" s="102"/>
      <c r="E63" s="123"/>
      <c r="F63" s="100"/>
    </row>
    <row r="64" spans="1:10" ht="13.5" customHeight="1">
      <c r="B64" s="102"/>
      <c r="C64" s="102"/>
      <c r="E64" s="123"/>
      <c r="F64" s="100"/>
    </row>
    <row r="65" spans="2:6" ht="13.5" customHeight="1">
      <c r="B65" s="102"/>
      <c r="C65" s="102"/>
      <c r="E65" s="123"/>
      <c r="F65" s="100"/>
    </row>
    <row r="66" spans="2:6" ht="13.5" customHeight="1">
      <c r="B66" s="102"/>
      <c r="C66" s="102"/>
      <c r="E66" s="123"/>
      <c r="F66" s="100"/>
    </row>
    <row r="67" spans="2:6" ht="13.5" customHeight="1">
      <c r="B67" s="102"/>
      <c r="C67" s="102"/>
      <c r="E67" s="123"/>
      <c r="F67" s="100"/>
    </row>
    <row r="68" spans="2:6" ht="13.5" customHeight="1">
      <c r="B68" s="102"/>
      <c r="C68" s="102"/>
      <c r="E68" s="123"/>
      <c r="F68" s="100"/>
    </row>
    <row r="69" spans="2:6" ht="13.5" customHeight="1">
      <c r="B69" s="102"/>
      <c r="C69" s="102"/>
      <c r="E69" s="123"/>
      <c r="F69" s="100"/>
    </row>
    <row r="70" spans="2:6" ht="13.5" customHeight="1">
      <c r="B70" s="102"/>
      <c r="C70" s="102"/>
      <c r="E70" s="123"/>
      <c r="F70" s="100"/>
    </row>
    <row r="71" spans="2:6" ht="13.5" customHeight="1">
      <c r="B71" s="102"/>
      <c r="C71" s="102"/>
      <c r="E71" s="123"/>
      <c r="F71" s="100"/>
    </row>
    <row r="72" spans="2:6" ht="13.5" customHeight="1">
      <c r="B72" s="102"/>
      <c r="C72" s="102"/>
      <c r="E72" s="123"/>
      <c r="F72" s="100"/>
    </row>
    <row r="73" spans="2:6" ht="13.5" customHeight="1">
      <c r="B73" s="102"/>
      <c r="C73" s="102"/>
      <c r="E73" s="123"/>
      <c r="F73" s="100"/>
    </row>
    <row r="74" spans="2:6" ht="13.5" customHeight="1">
      <c r="B74" s="102"/>
      <c r="C74" s="102"/>
      <c r="E74" s="123"/>
      <c r="F74" s="100"/>
    </row>
    <row r="75" spans="2:6" ht="13.5" customHeight="1">
      <c r="B75" s="102"/>
      <c r="C75" s="102"/>
      <c r="E75" s="123"/>
      <c r="F75" s="100"/>
    </row>
    <row r="76" spans="2:6" ht="13.5" customHeight="1">
      <c r="B76" s="102"/>
      <c r="C76" s="102"/>
      <c r="E76" s="123"/>
      <c r="F76" s="100"/>
    </row>
    <row r="77" spans="2:6" ht="13.5" customHeight="1">
      <c r="B77" s="102"/>
      <c r="C77" s="102"/>
      <c r="E77" s="123"/>
      <c r="F77" s="100"/>
    </row>
    <row r="78" spans="2:6" ht="13.5" customHeight="1">
      <c r="B78" s="102"/>
      <c r="C78" s="102"/>
      <c r="E78" s="123"/>
      <c r="F78" s="100"/>
    </row>
    <row r="79" spans="2:6" ht="13.5" customHeight="1">
      <c r="B79" s="102"/>
      <c r="C79" s="102"/>
      <c r="E79" s="123"/>
      <c r="F79" s="100"/>
    </row>
    <row r="80" spans="2:6" ht="13.5" customHeight="1">
      <c r="B80" s="102"/>
      <c r="C80" s="102"/>
      <c r="E80" s="123"/>
      <c r="F80" s="100"/>
    </row>
    <row r="81" spans="2:6" ht="13.5" customHeight="1">
      <c r="B81" s="102"/>
      <c r="C81" s="102"/>
      <c r="E81" s="123"/>
      <c r="F81" s="100"/>
    </row>
    <row r="82" spans="2:6" ht="13.5" customHeight="1">
      <c r="B82" s="102"/>
      <c r="C82" s="102"/>
      <c r="E82" s="123"/>
      <c r="F82" s="100"/>
    </row>
    <row r="83" spans="2:6" ht="13.5" customHeight="1">
      <c r="B83" s="102"/>
      <c r="C83" s="102"/>
      <c r="E83" s="123"/>
      <c r="F83" s="100"/>
    </row>
    <row r="84" spans="2:6" ht="13.5" customHeight="1">
      <c r="B84" s="102"/>
      <c r="C84" s="102"/>
      <c r="E84" s="123"/>
      <c r="F84" s="100"/>
    </row>
    <row r="85" spans="2:6" ht="13.5" customHeight="1">
      <c r="B85" s="102"/>
      <c r="C85" s="102"/>
      <c r="E85" s="123"/>
      <c r="F85" s="100"/>
    </row>
    <row r="86" spans="2:6" ht="13.5" customHeight="1">
      <c r="B86" s="102"/>
      <c r="C86" s="102"/>
      <c r="E86" s="123"/>
      <c r="F86" s="100"/>
    </row>
    <row r="87" spans="2:6" ht="13.5" customHeight="1">
      <c r="B87" s="102"/>
      <c r="C87" s="102"/>
      <c r="E87" s="123"/>
      <c r="F87" s="100"/>
    </row>
    <row r="88" spans="2:6" ht="13.5" customHeight="1">
      <c r="B88" s="102"/>
      <c r="C88" s="102"/>
      <c r="E88" s="123"/>
      <c r="F88" s="100"/>
    </row>
    <row r="89" spans="2:6" ht="13.5" customHeight="1">
      <c r="B89" s="102"/>
      <c r="C89" s="102"/>
      <c r="E89" s="123"/>
      <c r="F89" s="100"/>
    </row>
    <row r="90" spans="2:6" ht="13.5" customHeight="1">
      <c r="B90" s="102"/>
      <c r="C90" s="102"/>
      <c r="E90" s="123"/>
      <c r="F90" s="100"/>
    </row>
    <row r="91" spans="2:6" ht="13.5" customHeight="1">
      <c r="B91" s="102"/>
      <c r="C91" s="102"/>
      <c r="E91" s="123"/>
      <c r="F91" s="100"/>
    </row>
    <row r="92" spans="2:6" ht="13.5" customHeight="1">
      <c r="B92" s="102"/>
      <c r="C92" s="102"/>
      <c r="E92" s="123"/>
      <c r="F92" s="100"/>
    </row>
    <row r="93" spans="2:6" ht="13.5" customHeight="1">
      <c r="B93" s="102"/>
      <c r="C93" s="102"/>
      <c r="E93" s="123"/>
      <c r="F93" s="100"/>
    </row>
    <row r="94" spans="2:6" ht="13.5" customHeight="1">
      <c r="B94" s="102"/>
      <c r="C94" s="102"/>
      <c r="E94" s="123"/>
      <c r="F94" s="100"/>
    </row>
    <row r="95" spans="2:6" ht="13.5" customHeight="1">
      <c r="B95" s="102"/>
      <c r="C95" s="102"/>
      <c r="E95" s="123"/>
      <c r="F95" s="100"/>
    </row>
    <row r="96" spans="2:6" ht="13.5" customHeight="1">
      <c r="B96" s="102"/>
      <c r="C96" s="102"/>
      <c r="E96" s="123"/>
      <c r="F96" s="100"/>
    </row>
    <row r="97" spans="2:6" ht="13.5" customHeight="1">
      <c r="B97" s="102"/>
      <c r="C97" s="102"/>
      <c r="E97" s="123"/>
      <c r="F97" s="100"/>
    </row>
    <row r="98" spans="2:6" ht="13.5" customHeight="1">
      <c r="B98" s="102"/>
      <c r="C98" s="102"/>
      <c r="E98" s="123"/>
      <c r="F98" s="100"/>
    </row>
    <row r="99" spans="2:6" ht="13.5" customHeight="1">
      <c r="B99" s="102"/>
      <c r="C99" s="102"/>
      <c r="E99" s="123"/>
      <c r="F99" s="100"/>
    </row>
    <row r="100" spans="2:6" ht="13.5" customHeight="1">
      <c r="B100" s="102"/>
      <c r="C100" s="102"/>
      <c r="E100" s="123"/>
      <c r="F100" s="100"/>
    </row>
    <row r="101" spans="2:6" ht="13.5" customHeight="1">
      <c r="B101" s="102"/>
      <c r="C101" s="102"/>
      <c r="E101" s="123"/>
      <c r="F101" s="100"/>
    </row>
    <row r="102" spans="2:6" ht="13.5" customHeight="1">
      <c r="B102" s="102"/>
      <c r="C102" s="102"/>
      <c r="E102" s="123"/>
      <c r="F102" s="100"/>
    </row>
    <row r="103" spans="2:6" ht="13.5" customHeight="1">
      <c r="B103" s="102"/>
      <c r="C103" s="102"/>
      <c r="E103" s="123"/>
      <c r="F103" s="100"/>
    </row>
    <row r="104" spans="2:6" ht="13.5" customHeight="1">
      <c r="B104" s="102"/>
      <c r="C104" s="102"/>
      <c r="E104" s="123"/>
      <c r="F104" s="100"/>
    </row>
    <row r="105" spans="2:6" ht="13.5" customHeight="1">
      <c r="B105" s="102"/>
      <c r="C105" s="102"/>
      <c r="E105" s="123"/>
      <c r="F105" s="100"/>
    </row>
    <row r="106" spans="2:6" ht="13.5" customHeight="1">
      <c r="B106" s="102"/>
      <c r="C106" s="102"/>
      <c r="E106" s="123"/>
      <c r="F106" s="100"/>
    </row>
    <row r="107" spans="2:6" ht="13.5" customHeight="1">
      <c r="B107" s="102"/>
      <c r="C107" s="102"/>
      <c r="E107" s="123"/>
      <c r="F107" s="100"/>
    </row>
    <row r="108" spans="2:6" ht="13.5" customHeight="1">
      <c r="B108" s="102"/>
      <c r="C108" s="102"/>
      <c r="E108" s="123"/>
      <c r="F108" s="100"/>
    </row>
    <row r="109" spans="2:6" ht="13.5" customHeight="1">
      <c r="B109" s="102"/>
      <c r="C109" s="102"/>
      <c r="E109" s="123"/>
      <c r="F109" s="100"/>
    </row>
    <row r="110" spans="2:6" ht="13.5" customHeight="1">
      <c r="B110" s="102"/>
      <c r="C110" s="102"/>
      <c r="E110" s="123"/>
      <c r="F110" s="100"/>
    </row>
    <row r="111" spans="2:6" ht="13.5" customHeight="1">
      <c r="B111" s="102"/>
      <c r="C111" s="102"/>
      <c r="E111" s="123"/>
      <c r="F111" s="100"/>
    </row>
    <row r="112" spans="2:6" ht="13.5" customHeight="1">
      <c r="B112" s="102"/>
      <c r="C112" s="102"/>
      <c r="E112" s="123"/>
      <c r="F112" s="100"/>
    </row>
    <row r="113" spans="2:6" ht="13.5" customHeight="1">
      <c r="B113" s="102"/>
      <c r="C113" s="102"/>
      <c r="E113" s="123"/>
      <c r="F113" s="100"/>
    </row>
    <row r="114" spans="2:6" ht="13.5" customHeight="1">
      <c r="B114" s="102"/>
      <c r="C114" s="102"/>
      <c r="E114" s="123"/>
      <c r="F114" s="100"/>
    </row>
    <row r="115" spans="2:6" ht="13.5" customHeight="1">
      <c r="B115" s="102"/>
      <c r="C115" s="102"/>
      <c r="E115" s="123"/>
      <c r="F115" s="100"/>
    </row>
    <row r="116" spans="2:6" ht="13.5" customHeight="1">
      <c r="B116" s="102"/>
      <c r="C116" s="102"/>
      <c r="E116" s="123"/>
      <c r="F116" s="100"/>
    </row>
    <row r="117" spans="2:6" ht="13.5" customHeight="1">
      <c r="B117" s="102"/>
      <c r="C117" s="102"/>
      <c r="E117" s="123"/>
      <c r="F117" s="100"/>
    </row>
    <row r="118" spans="2:6" ht="13.5" customHeight="1">
      <c r="B118" s="102"/>
      <c r="C118" s="102"/>
      <c r="E118" s="123"/>
      <c r="F118" s="100"/>
    </row>
    <row r="119" spans="2:6" ht="13.5" customHeight="1">
      <c r="B119" s="102"/>
      <c r="C119" s="102"/>
      <c r="E119" s="123"/>
      <c r="F119" s="100"/>
    </row>
    <row r="120" spans="2:6" ht="13.5" customHeight="1">
      <c r="B120" s="102"/>
      <c r="C120" s="102"/>
      <c r="E120" s="123"/>
      <c r="F120" s="100"/>
    </row>
    <row r="121" spans="2:6" ht="13.5" customHeight="1">
      <c r="B121" s="102"/>
      <c r="C121" s="102"/>
      <c r="E121" s="123"/>
      <c r="F121" s="100"/>
    </row>
    <row r="122" spans="2:6" ht="13.5" customHeight="1">
      <c r="B122" s="102"/>
      <c r="C122" s="102"/>
      <c r="E122" s="123"/>
      <c r="F122" s="100"/>
    </row>
    <row r="123" spans="2:6" ht="13.5" customHeight="1">
      <c r="B123" s="102"/>
      <c r="C123" s="102"/>
      <c r="E123" s="123"/>
      <c r="F123" s="100"/>
    </row>
    <row r="124" spans="2:6" ht="13.5" customHeight="1">
      <c r="B124" s="102"/>
      <c r="C124" s="102"/>
      <c r="E124" s="123"/>
      <c r="F124" s="100"/>
    </row>
    <row r="125" spans="2:6" ht="13.5" customHeight="1">
      <c r="B125" s="102"/>
      <c r="C125" s="102"/>
      <c r="E125" s="123"/>
      <c r="F125" s="100"/>
    </row>
    <row r="126" spans="2:6" ht="13.5" customHeight="1">
      <c r="B126" s="102"/>
      <c r="C126" s="102"/>
      <c r="E126" s="123"/>
      <c r="F126" s="100"/>
    </row>
    <row r="127" spans="2:6" ht="13.5" customHeight="1">
      <c r="B127" s="102"/>
      <c r="C127" s="102"/>
      <c r="E127" s="123"/>
      <c r="F127" s="100"/>
    </row>
    <row r="128" spans="2:6" ht="13.5" customHeight="1">
      <c r="B128" s="102"/>
      <c r="C128" s="102"/>
      <c r="E128" s="123"/>
      <c r="F128" s="100"/>
    </row>
    <row r="129" spans="2:6" ht="13.5" customHeight="1">
      <c r="B129" s="102"/>
      <c r="C129" s="102"/>
      <c r="E129" s="123"/>
      <c r="F129" s="100"/>
    </row>
    <row r="130" spans="2:6" ht="13.5" customHeight="1">
      <c r="B130" s="102"/>
      <c r="C130" s="102"/>
      <c r="E130" s="123"/>
      <c r="F130" s="100"/>
    </row>
    <row r="131" spans="2:6" ht="13.5" customHeight="1">
      <c r="B131" s="102"/>
      <c r="C131" s="102"/>
      <c r="E131" s="123"/>
      <c r="F131" s="100"/>
    </row>
    <row r="132" spans="2:6" ht="13.5" customHeight="1">
      <c r="B132" s="102"/>
      <c r="C132" s="102"/>
      <c r="E132" s="123"/>
      <c r="F132" s="100"/>
    </row>
    <row r="133" spans="2:6" ht="13.5" customHeight="1">
      <c r="B133" s="102"/>
      <c r="C133" s="102"/>
      <c r="E133" s="123"/>
      <c r="F133" s="100"/>
    </row>
    <row r="134" spans="2:6" ht="13.5" customHeight="1">
      <c r="B134" s="102"/>
      <c r="C134" s="102"/>
      <c r="E134" s="123"/>
      <c r="F134" s="100"/>
    </row>
    <row r="135" spans="2:6" ht="13.5" customHeight="1">
      <c r="B135" s="102"/>
      <c r="C135" s="102"/>
      <c r="E135" s="123"/>
      <c r="F135" s="100"/>
    </row>
    <row r="136" spans="2:6" ht="13.5" customHeight="1">
      <c r="B136" s="102"/>
      <c r="C136" s="102"/>
      <c r="E136" s="123"/>
      <c r="F136" s="100"/>
    </row>
    <row r="137" spans="2:6" ht="13.5" customHeight="1">
      <c r="B137" s="102"/>
      <c r="C137" s="102"/>
      <c r="E137" s="123"/>
      <c r="F137" s="100"/>
    </row>
    <row r="138" spans="2:6" ht="13.5" customHeight="1">
      <c r="B138" s="102"/>
      <c r="C138" s="102"/>
      <c r="E138" s="123"/>
      <c r="F138" s="100"/>
    </row>
    <row r="139" spans="2:6" ht="13.5" customHeight="1">
      <c r="B139" s="102"/>
      <c r="C139" s="102"/>
      <c r="E139" s="123"/>
      <c r="F139" s="100"/>
    </row>
    <row r="140" spans="2:6" ht="13.5" customHeight="1">
      <c r="B140" s="102"/>
      <c r="C140" s="102"/>
      <c r="E140" s="123"/>
      <c r="F140" s="100"/>
    </row>
    <row r="141" spans="2:6" ht="13.5" customHeight="1">
      <c r="B141" s="102"/>
      <c r="C141" s="102"/>
      <c r="E141" s="123"/>
      <c r="F141" s="100"/>
    </row>
    <row r="142" spans="2:6" ht="13.5" customHeight="1">
      <c r="B142" s="102"/>
      <c r="C142" s="102"/>
      <c r="E142" s="123"/>
      <c r="F142" s="100"/>
    </row>
    <row r="143" spans="2:6" ht="13.5" customHeight="1">
      <c r="B143" s="102"/>
      <c r="C143" s="102"/>
      <c r="E143" s="123"/>
      <c r="F143" s="100"/>
    </row>
    <row r="144" spans="2:6" ht="13.5" customHeight="1">
      <c r="B144" s="102"/>
      <c r="C144" s="102"/>
      <c r="E144" s="123"/>
      <c r="F144" s="100"/>
    </row>
    <row r="145" spans="2:6" ht="13.5" customHeight="1">
      <c r="B145" s="102"/>
      <c r="C145" s="102"/>
      <c r="E145" s="123"/>
      <c r="F145" s="100"/>
    </row>
    <row r="146" spans="2:6" ht="13.5" customHeight="1">
      <c r="B146" s="102"/>
      <c r="C146" s="102"/>
      <c r="E146" s="123"/>
      <c r="F146" s="100"/>
    </row>
    <row r="147" spans="2:6" ht="13.5" customHeight="1">
      <c r="B147" s="102"/>
      <c r="C147" s="102"/>
      <c r="E147" s="123"/>
      <c r="F147" s="100"/>
    </row>
    <row r="148" spans="2:6" ht="13.5" customHeight="1">
      <c r="B148" s="102"/>
      <c r="C148" s="102"/>
      <c r="E148" s="123"/>
      <c r="F148" s="100"/>
    </row>
    <row r="149" spans="2:6" ht="13.5" customHeight="1">
      <c r="B149" s="102"/>
      <c r="C149" s="102"/>
      <c r="E149" s="123"/>
      <c r="F149" s="100"/>
    </row>
    <row r="150" spans="2:6" ht="13.5" customHeight="1">
      <c r="B150" s="102"/>
      <c r="C150" s="102"/>
      <c r="E150" s="123"/>
      <c r="F150" s="100"/>
    </row>
    <row r="151" spans="2:6" ht="13.5" customHeight="1">
      <c r="B151" s="102"/>
      <c r="C151" s="102"/>
      <c r="E151" s="123"/>
      <c r="F151" s="100"/>
    </row>
    <row r="152" spans="2:6" ht="13.5" customHeight="1">
      <c r="B152" s="102"/>
      <c r="C152" s="102"/>
      <c r="E152" s="123"/>
      <c r="F152" s="100"/>
    </row>
    <row r="153" spans="2:6" ht="13.5" customHeight="1">
      <c r="B153" s="102"/>
      <c r="C153" s="102"/>
      <c r="E153" s="123"/>
      <c r="F153" s="100"/>
    </row>
    <row r="154" spans="2:6" ht="13.5" customHeight="1">
      <c r="B154" s="102"/>
      <c r="C154" s="102"/>
      <c r="E154" s="123"/>
      <c r="F154" s="100"/>
    </row>
    <row r="155" spans="2:6" ht="13.5" customHeight="1">
      <c r="B155" s="102"/>
      <c r="C155" s="102"/>
      <c r="E155" s="123"/>
      <c r="F155" s="100"/>
    </row>
    <row r="156" spans="2:6" ht="13.5" customHeight="1">
      <c r="B156" s="102"/>
      <c r="C156" s="102"/>
      <c r="E156" s="123"/>
      <c r="F156" s="100"/>
    </row>
    <row r="157" spans="2:6" ht="13.5" customHeight="1">
      <c r="B157" s="102"/>
      <c r="C157" s="102"/>
      <c r="E157" s="123"/>
      <c r="F157" s="100"/>
    </row>
    <row r="158" spans="2:6" ht="13.5" customHeight="1">
      <c r="B158" s="102"/>
      <c r="C158" s="102"/>
      <c r="E158" s="123"/>
      <c r="F158" s="100"/>
    </row>
    <row r="159" spans="2:6" ht="13.5" customHeight="1">
      <c r="B159" s="102"/>
      <c r="C159" s="102"/>
      <c r="E159" s="123"/>
      <c r="F159" s="100"/>
    </row>
    <row r="160" spans="2:6" ht="13.5" customHeight="1">
      <c r="B160" s="102"/>
      <c r="C160" s="102"/>
      <c r="E160" s="123"/>
      <c r="F160" s="100"/>
    </row>
    <row r="161" spans="2:6" ht="13.5" customHeight="1">
      <c r="B161" s="102"/>
      <c r="C161" s="102"/>
      <c r="E161" s="123"/>
      <c r="F161" s="100"/>
    </row>
    <row r="162" spans="2:6" ht="13.5" customHeight="1">
      <c r="B162" s="102"/>
      <c r="C162" s="102"/>
      <c r="E162" s="123"/>
      <c r="F162" s="100"/>
    </row>
    <row r="163" spans="2:6" ht="13.5" customHeight="1">
      <c r="B163" s="102"/>
      <c r="C163" s="102"/>
      <c r="E163" s="123"/>
      <c r="F163" s="100"/>
    </row>
    <row r="164" spans="2:6" ht="13.5" customHeight="1">
      <c r="B164" s="102"/>
      <c r="C164" s="102"/>
      <c r="E164" s="123"/>
      <c r="F164" s="100"/>
    </row>
    <row r="165" spans="2:6" ht="13.5" customHeight="1">
      <c r="B165" s="102"/>
      <c r="C165" s="102"/>
      <c r="E165" s="123"/>
      <c r="F165" s="100"/>
    </row>
    <row r="166" spans="2:6" ht="13.5" customHeight="1">
      <c r="B166" s="102"/>
      <c r="C166" s="102"/>
      <c r="E166" s="123"/>
      <c r="F166" s="100"/>
    </row>
    <row r="167" spans="2:6" ht="13.5" customHeight="1">
      <c r="B167" s="102"/>
      <c r="C167" s="102"/>
      <c r="E167" s="123"/>
      <c r="F167" s="100"/>
    </row>
    <row r="168" spans="2:6" ht="13.5" customHeight="1">
      <c r="B168" s="102"/>
      <c r="C168" s="102"/>
      <c r="E168" s="123"/>
      <c r="F168" s="100"/>
    </row>
    <row r="169" spans="2:6" ht="13.5" customHeight="1">
      <c r="B169" s="102"/>
      <c r="C169" s="102"/>
      <c r="E169" s="123"/>
      <c r="F169" s="100"/>
    </row>
    <row r="170" spans="2:6" ht="13.5" customHeight="1">
      <c r="B170" s="102"/>
      <c r="C170" s="102"/>
      <c r="E170" s="123"/>
      <c r="F170" s="100"/>
    </row>
    <row r="171" spans="2:6" ht="13.5" customHeight="1">
      <c r="B171" s="102"/>
      <c r="C171" s="102"/>
      <c r="E171" s="123"/>
      <c r="F171" s="100"/>
    </row>
    <row r="172" spans="2:6" ht="13.5" customHeight="1">
      <c r="B172" s="102"/>
      <c r="C172" s="102"/>
      <c r="E172" s="123"/>
      <c r="F172" s="100"/>
    </row>
    <row r="173" spans="2:6" ht="13.5" customHeight="1">
      <c r="B173" s="102"/>
      <c r="C173" s="102"/>
      <c r="E173" s="123"/>
      <c r="F173" s="100"/>
    </row>
    <row r="174" spans="2:6" ht="13.5" customHeight="1">
      <c r="B174" s="102"/>
      <c r="C174" s="102"/>
      <c r="E174" s="123"/>
      <c r="F174" s="100"/>
    </row>
    <row r="175" spans="2:6" ht="13.5" customHeight="1">
      <c r="B175" s="102"/>
      <c r="C175" s="102"/>
      <c r="E175" s="123"/>
      <c r="F175" s="100"/>
    </row>
    <row r="176" spans="2:6" ht="13.5" customHeight="1">
      <c r="B176" s="102"/>
      <c r="C176" s="102"/>
      <c r="E176" s="123"/>
      <c r="F176" s="100"/>
    </row>
    <row r="177" spans="2:6" ht="13.5" customHeight="1">
      <c r="B177" s="102"/>
      <c r="C177" s="102"/>
      <c r="E177" s="123"/>
      <c r="F177" s="100"/>
    </row>
    <row r="178" spans="2:6" ht="13.5" customHeight="1">
      <c r="B178" s="102"/>
      <c r="C178" s="102"/>
      <c r="E178" s="123"/>
      <c r="F178" s="100"/>
    </row>
    <row r="179" spans="2:6" ht="13.5" customHeight="1">
      <c r="B179" s="102"/>
      <c r="C179" s="102"/>
      <c r="E179" s="123"/>
      <c r="F179" s="100"/>
    </row>
    <row r="180" spans="2:6" ht="13.5" customHeight="1">
      <c r="B180" s="102"/>
      <c r="C180" s="102"/>
      <c r="E180" s="123"/>
      <c r="F180" s="100"/>
    </row>
    <row r="181" spans="2:6" ht="13.5" customHeight="1">
      <c r="B181" s="102"/>
      <c r="C181" s="102"/>
      <c r="E181" s="123"/>
      <c r="F181" s="100"/>
    </row>
    <row r="182" spans="2:6" ht="13.5" customHeight="1">
      <c r="B182" s="102"/>
      <c r="C182" s="102"/>
      <c r="E182" s="123"/>
      <c r="F182" s="100"/>
    </row>
    <row r="183" spans="2:6" ht="13.5" customHeight="1">
      <c r="B183" s="102"/>
      <c r="C183" s="102"/>
      <c r="E183" s="123"/>
      <c r="F183" s="100"/>
    </row>
    <row r="184" spans="2:6" ht="13.5" customHeight="1">
      <c r="B184" s="102"/>
      <c r="C184" s="102"/>
      <c r="E184" s="123"/>
      <c r="F184" s="100"/>
    </row>
    <row r="185" spans="2:6" ht="13.5" customHeight="1">
      <c r="B185" s="102"/>
      <c r="C185" s="102"/>
      <c r="E185" s="123"/>
      <c r="F185" s="100"/>
    </row>
    <row r="186" spans="2:6" ht="13.5" customHeight="1">
      <c r="B186" s="102"/>
      <c r="C186" s="102"/>
      <c r="E186" s="123"/>
      <c r="F186" s="100"/>
    </row>
    <row r="187" spans="2:6" ht="13.5" customHeight="1">
      <c r="B187" s="102"/>
      <c r="C187" s="102"/>
      <c r="E187" s="123"/>
      <c r="F187" s="100"/>
    </row>
    <row r="188" spans="2:6" ht="13.5" customHeight="1">
      <c r="B188" s="102"/>
      <c r="C188" s="102"/>
      <c r="E188" s="123"/>
      <c r="F188" s="100"/>
    </row>
    <row r="189" spans="2:6" ht="13.5" customHeight="1">
      <c r="B189" s="102"/>
      <c r="C189" s="102"/>
      <c r="E189" s="123"/>
      <c r="F189" s="100"/>
    </row>
    <row r="190" spans="2:6" ht="13.5" customHeight="1">
      <c r="B190" s="102"/>
      <c r="C190" s="102"/>
      <c r="E190" s="123"/>
      <c r="F190" s="100"/>
    </row>
    <row r="191" spans="2:6" ht="13.5" customHeight="1">
      <c r="B191" s="102"/>
      <c r="C191" s="102"/>
      <c r="E191" s="123"/>
      <c r="F191" s="100"/>
    </row>
    <row r="192" spans="2:6" ht="13.5" customHeight="1">
      <c r="B192" s="102"/>
      <c r="C192" s="102"/>
      <c r="E192" s="123"/>
      <c r="F192" s="100"/>
    </row>
    <row r="193" spans="2:6" ht="13.5" customHeight="1">
      <c r="B193" s="102"/>
      <c r="C193" s="102"/>
      <c r="E193" s="123"/>
      <c r="F193" s="100"/>
    </row>
    <row r="194" spans="2:6" ht="13.5" customHeight="1">
      <c r="B194" s="102"/>
      <c r="C194" s="102"/>
      <c r="E194" s="123"/>
      <c r="F194" s="100"/>
    </row>
    <row r="195" spans="2:6" ht="13.5" customHeight="1">
      <c r="B195" s="102"/>
      <c r="C195" s="102"/>
      <c r="E195" s="123"/>
      <c r="F195" s="100"/>
    </row>
    <row r="196" spans="2:6" ht="13.5" customHeight="1">
      <c r="B196" s="102"/>
      <c r="C196" s="102"/>
      <c r="E196" s="123"/>
      <c r="F196" s="100"/>
    </row>
    <row r="197" spans="2:6" ht="13.5" customHeight="1">
      <c r="B197" s="102"/>
      <c r="C197" s="102"/>
      <c r="E197" s="123"/>
      <c r="F197" s="100"/>
    </row>
    <row r="198" spans="2:6" ht="13.5" customHeight="1">
      <c r="B198" s="102"/>
      <c r="C198" s="102"/>
      <c r="E198" s="123"/>
      <c r="F198" s="100"/>
    </row>
    <row r="199" spans="2:6" ht="13.5" customHeight="1">
      <c r="B199" s="102"/>
      <c r="C199" s="102"/>
      <c r="E199" s="123"/>
      <c r="F199" s="100"/>
    </row>
    <row r="200" spans="2:6" ht="13.5" customHeight="1">
      <c r="B200" s="102"/>
      <c r="C200" s="102"/>
      <c r="E200" s="123"/>
      <c r="F200" s="100"/>
    </row>
    <row r="201" spans="2:6" ht="13.5" customHeight="1">
      <c r="B201" s="102"/>
      <c r="C201" s="102"/>
      <c r="E201" s="123"/>
      <c r="F201" s="100"/>
    </row>
    <row r="202" spans="2:6" ht="13.5" customHeight="1">
      <c r="B202" s="102"/>
      <c r="C202" s="102"/>
      <c r="E202" s="123"/>
      <c r="F202" s="100"/>
    </row>
    <row r="203" spans="2:6" ht="13.5" customHeight="1">
      <c r="B203" s="102"/>
      <c r="C203" s="102"/>
      <c r="E203" s="123"/>
      <c r="F203" s="100"/>
    </row>
    <row r="204" spans="2:6" ht="13.5" customHeight="1">
      <c r="B204" s="102"/>
      <c r="C204" s="102"/>
      <c r="E204" s="123"/>
      <c r="F204" s="100"/>
    </row>
    <row r="205" spans="2:6" ht="13.5" customHeight="1">
      <c r="B205" s="102"/>
      <c r="C205" s="102"/>
      <c r="E205" s="123"/>
      <c r="F205" s="100"/>
    </row>
    <row r="206" spans="2:6" ht="13.5" customHeight="1">
      <c r="B206" s="102"/>
      <c r="C206" s="102"/>
      <c r="E206" s="123"/>
      <c r="F206" s="100"/>
    </row>
    <row r="207" spans="2:6" ht="13.5" customHeight="1">
      <c r="B207" s="102"/>
      <c r="C207" s="102"/>
      <c r="E207" s="123"/>
      <c r="F207" s="100"/>
    </row>
    <row r="208" spans="2:6" ht="13.5" customHeight="1">
      <c r="B208" s="102"/>
      <c r="C208" s="102"/>
      <c r="E208" s="123"/>
      <c r="F208" s="100"/>
    </row>
    <row r="209" spans="2:6" ht="13.5" customHeight="1">
      <c r="B209" s="102"/>
      <c r="C209" s="102"/>
      <c r="E209" s="123"/>
      <c r="F209" s="100"/>
    </row>
    <row r="210" spans="2:6" ht="13.5" customHeight="1">
      <c r="B210" s="102"/>
      <c r="C210" s="102"/>
      <c r="E210" s="123"/>
      <c r="F210" s="100"/>
    </row>
    <row r="211" spans="2:6" ht="13.5" customHeight="1">
      <c r="B211" s="102"/>
      <c r="C211" s="102"/>
      <c r="E211" s="123"/>
      <c r="F211" s="100"/>
    </row>
    <row r="212" spans="2:6" ht="13.5" customHeight="1">
      <c r="B212" s="102"/>
      <c r="C212" s="102"/>
      <c r="E212" s="123"/>
      <c r="F212" s="100"/>
    </row>
    <row r="213" spans="2:6" ht="13.5" customHeight="1">
      <c r="B213" s="102"/>
      <c r="C213" s="102"/>
      <c r="E213" s="123"/>
      <c r="F213" s="100"/>
    </row>
    <row r="214" spans="2:6" ht="13.5" customHeight="1">
      <c r="B214" s="102"/>
      <c r="C214" s="102"/>
      <c r="E214" s="123"/>
      <c r="F214" s="100"/>
    </row>
    <row r="215" spans="2:6" ht="13.5" customHeight="1">
      <c r="B215" s="102"/>
      <c r="C215" s="102"/>
      <c r="E215" s="123"/>
      <c r="F215" s="100"/>
    </row>
    <row r="216" spans="2:6" ht="13.5" customHeight="1">
      <c r="B216" s="102"/>
      <c r="C216" s="102"/>
      <c r="E216" s="123"/>
      <c r="F216" s="100"/>
    </row>
    <row r="217" spans="2:6" ht="13.5" customHeight="1">
      <c r="B217" s="102"/>
      <c r="C217" s="102"/>
      <c r="E217" s="123"/>
      <c r="F217" s="100"/>
    </row>
    <row r="218" spans="2:6" ht="13.5" customHeight="1">
      <c r="B218" s="102"/>
      <c r="C218" s="102"/>
      <c r="E218" s="123"/>
      <c r="F218" s="100"/>
    </row>
    <row r="219" spans="2:6" ht="13.5" customHeight="1">
      <c r="B219" s="102"/>
      <c r="C219" s="102"/>
      <c r="E219" s="123"/>
      <c r="F219" s="100"/>
    </row>
    <row r="220" spans="2:6" ht="13.5" customHeight="1">
      <c r="B220" s="102"/>
      <c r="C220" s="102"/>
      <c r="E220" s="123"/>
      <c r="F220" s="100"/>
    </row>
    <row r="221" spans="2:6" ht="13.5" customHeight="1">
      <c r="B221" s="102"/>
      <c r="C221" s="102"/>
      <c r="E221" s="123"/>
      <c r="F221" s="100"/>
    </row>
    <row r="222" spans="2:6" ht="13.5" customHeight="1">
      <c r="B222" s="102"/>
      <c r="C222" s="102"/>
      <c r="E222" s="123"/>
      <c r="F222" s="100"/>
    </row>
    <row r="223" spans="2:6" ht="13.5" customHeight="1">
      <c r="B223" s="102"/>
      <c r="C223" s="102"/>
      <c r="E223" s="123"/>
      <c r="F223" s="100"/>
    </row>
    <row r="224" spans="2:6" ht="13.5" customHeight="1">
      <c r="B224" s="102"/>
      <c r="C224" s="102"/>
      <c r="E224" s="123"/>
      <c r="F224" s="100"/>
    </row>
    <row r="225" spans="2:6" ht="13.5" customHeight="1">
      <c r="B225" s="102"/>
      <c r="C225" s="102"/>
      <c r="E225" s="123"/>
      <c r="F225" s="100"/>
    </row>
    <row r="226" spans="2:6" ht="13.5" customHeight="1">
      <c r="B226" s="102"/>
      <c r="C226" s="102"/>
      <c r="E226" s="123"/>
      <c r="F226" s="100"/>
    </row>
    <row r="227" spans="2:6" ht="13.5" customHeight="1">
      <c r="B227" s="102"/>
      <c r="C227" s="102"/>
      <c r="E227" s="123"/>
      <c r="F227" s="100"/>
    </row>
    <row r="228" spans="2:6" ht="13.5" customHeight="1">
      <c r="B228" s="102"/>
      <c r="C228" s="102"/>
      <c r="E228" s="123"/>
      <c r="F228" s="100"/>
    </row>
    <row r="229" spans="2:6" ht="13.5" customHeight="1">
      <c r="B229" s="102"/>
      <c r="C229" s="102"/>
      <c r="E229" s="123"/>
      <c r="F229" s="100"/>
    </row>
    <row r="230" spans="2:6" ht="13.5" customHeight="1">
      <c r="B230" s="102"/>
      <c r="C230" s="102"/>
      <c r="E230" s="123"/>
      <c r="F230" s="100"/>
    </row>
    <row r="231" spans="2:6" ht="13.5" customHeight="1">
      <c r="B231" s="102"/>
      <c r="C231" s="102"/>
      <c r="E231" s="123"/>
      <c r="F231" s="100"/>
    </row>
    <row r="232" spans="2:6" ht="13.5" customHeight="1">
      <c r="B232" s="102"/>
      <c r="C232" s="102"/>
      <c r="E232" s="123"/>
      <c r="F232" s="100"/>
    </row>
    <row r="233" spans="2:6" ht="13.5" customHeight="1">
      <c r="B233" s="102"/>
      <c r="C233" s="102"/>
      <c r="E233" s="123"/>
      <c r="F233" s="100"/>
    </row>
    <row r="234" spans="2:6" ht="13.5" customHeight="1">
      <c r="B234" s="102"/>
      <c r="C234" s="102"/>
      <c r="E234" s="123"/>
      <c r="F234" s="100"/>
    </row>
    <row r="235" spans="2:6" ht="13.5" customHeight="1">
      <c r="B235" s="102"/>
      <c r="C235" s="102"/>
      <c r="E235" s="123"/>
      <c r="F235" s="100"/>
    </row>
    <row r="236" spans="2:6" ht="13.5" customHeight="1">
      <c r="B236" s="102"/>
      <c r="C236" s="102"/>
      <c r="E236" s="123"/>
      <c r="F236" s="100"/>
    </row>
    <row r="237" spans="2:6" ht="13.5" customHeight="1">
      <c r="B237" s="102"/>
      <c r="C237" s="102"/>
      <c r="E237" s="123"/>
      <c r="F237" s="100"/>
    </row>
    <row r="238" spans="2:6" ht="13.5" customHeight="1">
      <c r="B238" s="102"/>
      <c r="C238" s="102"/>
      <c r="E238" s="123"/>
      <c r="F238" s="100"/>
    </row>
    <row r="239" spans="2:6" ht="13.5" customHeight="1">
      <c r="B239" s="102"/>
      <c r="C239" s="102"/>
      <c r="E239" s="123"/>
      <c r="F239" s="100"/>
    </row>
    <row r="240" spans="2:6" ht="13.5" customHeight="1">
      <c r="B240" s="102"/>
      <c r="C240" s="102"/>
      <c r="E240" s="123"/>
      <c r="F240" s="100"/>
    </row>
    <row r="241" spans="2:6" ht="13.5" customHeight="1">
      <c r="B241" s="102"/>
      <c r="C241" s="102"/>
      <c r="E241" s="123"/>
      <c r="F241" s="100"/>
    </row>
    <row r="242" spans="2:6" ht="13.5" customHeight="1">
      <c r="B242" s="102"/>
      <c r="C242" s="102"/>
      <c r="E242" s="123"/>
      <c r="F242" s="100"/>
    </row>
    <row r="243" spans="2:6" ht="13.5" customHeight="1">
      <c r="B243" s="102"/>
      <c r="C243" s="102"/>
      <c r="E243" s="123"/>
      <c r="F243" s="100"/>
    </row>
    <row r="244" spans="2:6" ht="13.5" customHeight="1">
      <c r="B244" s="102"/>
      <c r="C244" s="102"/>
      <c r="E244" s="123"/>
      <c r="F244" s="100"/>
    </row>
    <row r="245" spans="2:6" ht="13.5" customHeight="1">
      <c r="B245" s="102"/>
      <c r="C245" s="102"/>
      <c r="E245" s="123"/>
      <c r="F245" s="100"/>
    </row>
    <row r="246" spans="2:6" ht="13.5" customHeight="1">
      <c r="B246" s="102"/>
      <c r="C246" s="102"/>
      <c r="E246" s="123"/>
      <c r="F246" s="100"/>
    </row>
    <row r="247" spans="2:6" ht="13.5" customHeight="1">
      <c r="B247" s="102"/>
      <c r="C247" s="102"/>
      <c r="E247" s="123"/>
      <c r="F247" s="100"/>
    </row>
    <row r="248" spans="2:6" ht="13.5" customHeight="1">
      <c r="B248" s="102"/>
      <c r="C248" s="102"/>
      <c r="E248" s="123"/>
      <c r="F248" s="100"/>
    </row>
    <row r="249" spans="2:6" ht="13.5" customHeight="1">
      <c r="B249" s="102"/>
      <c r="C249" s="102"/>
      <c r="E249" s="123"/>
      <c r="F249" s="100"/>
    </row>
    <row r="250" spans="2:6" ht="13.5" customHeight="1">
      <c r="B250" s="102"/>
      <c r="C250" s="102"/>
      <c r="E250" s="123"/>
      <c r="F250" s="100"/>
    </row>
    <row r="251" spans="2:6" ht="13.5" customHeight="1">
      <c r="B251" s="102"/>
      <c r="C251" s="102"/>
      <c r="E251" s="123"/>
      <c r="F251" s="100"/>
    </row>
    <row r="252" spans="2:6" ht="13.5" customHeight="1">
      <c r="B252" s="102"/>
      <c r="C252" s="102"/>
      <c r="E252" s="123"/>
      <c r="F252" s="100"/>
    </row>
    <row r="253" spans="2:6" ht="13.5" customHeight="1">
      <c r="B253" s="102"/>
      <c r="C253" s="102"/>
      <c r="E253" s="123"/>
      <c r="F253" s="100"/>
    </row>
    <row r="254" spans="2:6" ht="13.5" customHeight="1">
      <c r="B254" s="102"/>
      <c r="C254" s="102"/>
      <c r="E254" s="123"/>
      <c r="F254" s="100"/>
    </row>
    <row r="255" spans="2:6" ht="13.5" customHeight="1">
      <c r="B255" s="102"/>
      <c r="C255" s="102"/>
      <c r="E255" s="123"/>
      <c r="F255" s="100"/>
    </row>
    <row r="256" spans="2:6" ht="13.5" customHeight="1">
      <c r="B256" s="102"/>
      <c r="C256" s="102"/>
      <c r="E256" s="123"/>
      <c r="F256" s="100"/>
    </row>
    <row r="257" spans="2:6" ht="13.5" customHeight="1">
      <c r="B257" s="102"/>
      <c r="C257" s="102"/>
      <c r="E257" s="123"/>
      <c r="F257" s="100"/>
    </row>
    <row r="258" spans="2:6" ht="13.5" customHeight="1">
      <c r="B258" s="102"/>
      <c r="C258" s="102"/>
      <c r="E258" s="123"/>
      <c r="F258" s="100"/>
    </row>
    <row r="259" spans="2:6" ht="13.5" customHeight="1">
      <c r="B259" s="102"/>
      <c r="C259" s="102"/>
      <c r="E259" s="123"/>
      <c r="F259" s="100"/>
    </row>
    <row r="260" spans="2:6" ht="13.5" customHeight="1">
      <c r="B260" s="102"/>
      <c r="C260" s="102"/>
      <c r="E260" s="123"/>
      <c r="F260" s="100"/>
    </row>
    <row r="261" spans="2:6" ht="13.5" customHeight="1">
      <c r="B261" s="102"/>
      <c r="C261" s="102"/>
      <c r="E261" s="123"/>
      <c r="F261" s="100"/>
    </row>
    <row r="262" spans="2:6" ht="13.5" customHeight="1">
      <c r="B262" s="102"/>
      <c r="C262" s="102"/>
      <c r="E262" s="123"/>
      <c r="F262" s="100"/>
    </row>
    <row r="263" spans="2:6" ht="13.5" customHeight="1">
      <c r="B263" s="102"/>
      <c r="C263" s="102"/>
      <c r="E263" s="123"/>
      <c r="F263" s="100"/>
    </row>
    <row r="264" spans="2:6" ht="13.5" customHeight="1">
      <c r="B264" s="102"/>
      <c r="C264" s="102"/>
      <c r="E264" s="123"/>
      <c r="F264" s="100"/>
    </row>
    <row r="265" spans="2:6" ht="13.5" customHeight="1">
      <c r="B265" s="102"/>
      <c r="C265" s="102"/>
      <c r="E265" s="123"/>
      <c r="F265" s="100"/>
    </row>
    <row r="266" spans="2:6" ht="13.5" customHeight="1">
      <c r="B266" s="102"/>
      <c r="C266" s="102"/>
      <c r="E266" s="123"/>
      <c r="F266" s="100"/>
    </row>
    <row r="267" spans="2:6" ht="13.5" customHeight="1">
      <c r="B267" s="102"/>
      <c r="C267" s="102"/>
      <c r="E267" s="123"/>
      <c r="F267" s="100"/>
    </row>
    <row r="268" spans="2:6" ht="13.5" customHeight="1">
      <c r="B268" s="102"/>
      <c r="C268" s="102"/>
      <c r="E268" s="123"/>
      <c r="F268" s="100"/>
    </row>
    <row r="269" spans="2:6" ht="13.5" customHeight="1">
      <c r="B269" s="102"/>
      <c r="C269" s="102"/>
      <c r="E269" s="123"/>
      <c r="F269" s="100"/>
    </row>
    <row r="270" spans="2:6" ht="13.5" customHeight="1">
      <c r="B270" s="102"/>
      <c r="C270" s="102"/>
      <c r="E270" s="123"/>
      <c r="F270" s="100"/>
    </row>
    <row r="271" spans="2:6" ht="13.5" customHeight="1">
      <c r="B271" s="102"/>
      <c r="C271" s="102"/>
      <c r="E271" s="123"/>
      <c r="F271" s="100"/>
    </row>
    <row r="272" spans="2:6" ht="13.5" customHeight="1">
      <c r="B272" s="102"/>
      <c r="C272" s="102"/>
      <c r="E272" s="123"/>
      <c r="F272" s="100"/>
    </row>
    <row r="273" spans="2:6" ht="13.5" customHeight="1">
      <c r="B273" s="102"/>
      <c r="C273" s="102"/>
      <c r="E273" s="123"/>
      <c r="F273" s="100"/>
    </row>
    <row r="274" spans="2:6" ht="13.5" customHeight="1">
      <c r="B274" s="102"/>
      <c r="C274" s="102"/>
      <c r="E274" s="123"/>
      <c r="F274" s="100"/>
    </row>
    <row r="275" spans="2:6" ht="13.5" customHeight="1">
      <c r="B275" s="102"/>
      <c r="C275" s="102"/>
      <c r="E275" s="123"/>
      <c r="F275" s="100"/>
    </row>
    <row r="276" spans="2:6" ht="13.5" customHeight="1">
      <c r="B276" s="102"/>
      <c r="C276" s="102"/>
      <c r="E276" s="123"/>
      <c r="F276" s="100"/>
    </row>
    <row r="277" spans="2:6" ht="13.5" customHeight="1">
      <c r="B277" s="102"/>
      <c r="C277" s="102"/>
      <c r="E277" s="123"/>
      <c r="F277" s="100"/>
    </row>
    <row r="278" spans="2:6" ht="13.5" customHeight="1">
      <c r="B278" s="102"/>
      <c r="C278" s="102"/>
      <c r="E278" s="123"/>
      <c r="F278" s="100"/>
    </row>
    <row r="279" spans="2:6" ht="13.5" customHeight="1">
      <c r="B279" s="102"/>
      <c r="C279" s="102"/>
      <c r="E279" s="123"/>
      <c r="F279" s="100"/>
    </row>
    <row r="280" spans="2:6" ht="13.5" customHeight="1">
      <c r="B280" s="102"/>
      <c r="C280" s="102"/>
      <c r="E280" s="123"/>
      <c r="F280" s="100"/>
    </row>
    <row r="281" spans="2:6" ht="13.5" customHeight="1">
      <c r="B281" s="102"/>
      <c r="C281" s="102"/>
      <c r="E281" s="123"/>
      <c r="F281" s="100"/>
    </row>
    <row r="282" spans="2:6" ht="13.5" customHeight="1">
      <c r="B282" s="102"/>
      <c r="C282" s="102"/>
      <c r="E282" s="123"/>
      <c r="F282" s="100"/>
    </row>
    <row r="283" spans="2:6" ht="13.5" customHeight="1">
      <c r="B283" s="102"/>
      <c r="C283" s="102"/>
      <c r="E283" s="123"/>
      <c r="F283" s="100"/>
    </row>
    <row r="284" spans="2:6" ht="13.5" customHeight="1">
      <c r="B284" s="102"/>
      <c r="C284" s="102"/>
      <c r="E284" s="123"/>
      <c r="F284" s="100"/>
    </row>
    <row r="285" spans="2:6" ht="13.5" customHeight="1">
      <c r="B285" s="102"/>
      <c r="C285" s="102"/>
      <c r="E285" s="123"/>
      <c r="F285" s="100"/>
    </row>
    <row r="286" spans="2:6" ht="13.5" customHeight="1">
      <c r="B286" s="102"/>
      <c r="C286" s="102"/>
      <c r="E286" s="123"/>
      <c r="F286" s="100"/>
    </row>
    <row r="287" spans="2:6" ht="13.5" customHeight="1">
      <c r="B287" s="102"/>
      <c r="C287" s="102"/>
      <c r="E287" s="123"/>
      <c r="F287" s="100"/>
    </row>
    <row r="288" spans="2:6" ht="13.5" customHeight="1">
      <c r="B288" s="102"/>
      <c r="C288" s="102"/>
      <c r="E288" s="123"/>
      <c r="F288" s="100"/>
    </row>
    <row r="289" spans="2:6" ht="13.5" customHeight="1">
      <c r="B289" s="102"/>
      <c r="C289" s="102"/>
      <c r="E289" s="123"/>
      <c r="F289" s="100"/>
    </row>
    <row r="290" spans="2:6" ht="13.5" customHeight="1">
      <c r="B290" s="102"/>
      <c r="C290" s="102"/>
      <c r="E290" s="123"/>
      <c r="F290" s="100"/>
    </row>
    <row r="291" spans="2:6" ht="13.5" customHeight="1">
      <c r="B291" s="102"/>
      <c r="C291" s="102"/>
      <c r="E291" s="123"/>
      <c r="F291" s="100"/>
    </row>
    <row r="292" spans="2:6" ht="13.5" customHeight="1">
      <c r="B292" s="102"/>
      <c r="C292" s="102"/>
      <c r="E292" s="123"/>
      <c r="F292" s="100"/>
    </row>
    <row r="293" spans="2:6" ht="13.5" customHeight="1">
      <c r="B293" s="102"/>
      <c r="C293" s="102"/>
      <c r="E293" s="123"/>
      <c r="F293" s="100"/>
    </row>
    <row r="294" spans="2:6" ht="13.5" customHeight="1">
      <c r="B294" s="102"/>
      <c r="C294" s="102"/>
      <c r="E294" s="123"/>
      <c r="F294" s="100"/>
    </row>
    <row r="295" spans="2:6" ht="13.5" customHeight="1">
      <c r="B295" s="102"/>
      <c r="C295" s="102"/>
      <c r="E295" s="123"/>
      <c r="F295" s="100"/>
    </row>
    <row r="296" spans="2:6" ht="13.5" customHeight="1">
      <c r="B296" s="102"/>
      <c r="C296" s="102"/>
      <c r="E296" s="123"/>
      <c r="F296" s="100"/>
    </row>
    <row r="297" spans="2:6" ht="13.5" customHeight="1">
      <c r="B297" s="102"/>
      <c r="C297" s="102"/>
      <c r="E297" s="123"/>
      <c r="F297" s="100"/>
    </row>
    <row r="298" spans="2:6" ht="13.5" customHeight="1">
      <c r="B298" s="102"/>
      <c r="C298" s="102"/>
      <c r="E298" s="123"/>
      <c r="F298" s="100"/>
    </row>
    <row r="299" spans="2:6" ht="13.5" customHeight="1">
      <c r="B299" s="102"/>
      <c r="C299" s="102"/>
      <c r="E299" s="123"/>
      <c r="F299" s="100"/>
    </row>
    <row r="300" spans="2:6" ht="13.5" customHeight="1">
      <c r="B300" s="102"/>
      <c r="C300" s="102"/>
      <c r="E300" s="123"/>
      <c r="F300" s="100"/>
    </row>
    <row r="301" spans="2:6" ht="13.5" customHeight="1">
      <c r="B301" s="102"/>
      <c r="C301" s="102"/>
      <c r="E301" s="123"/>
      <c r="F301" s="100"/>
    </row>
    <row r="302" spans="2:6" ht="13.5" customHeight="1">
      <c r="B302" s="102"/>
      <c r="C302" s="102"/>
      <c r="E302" s="123"/>
      <c r="F302" s="100"/>
    </row>
    <row r="303" spans="2:6" ht="13.5" customHeight="1">
      <c r="B303" s="102"/>
      <c r="C303" s="102"/>
      <c r="E303" s="123"/>
      <c r="F303" s="100"/>
    </row>
    <row r="304" spans="2:6" ht="13.5" customHeight="1">
      <c r="B304" s="102"/>
      <c r="C304" s="102"/>
      <c r="E304" s="123"/>
      <c r="F304" s="100"/>
    </row>
    <row r="305" spans="2:6" ht="13.5" customHeight="1">
      <c r="B305" s="102"/>
      <c r="C305" s="102"/>
      <c r="E305" s="123"/>
      <c r="F305" s="100"/>
    </row>
    <row r="306" spans="2:6" ht="13.5" customHeight="1">
      <c r="B306" s="102"/>
      <c r="C306" s="102"/>
      <c r="E306" s="123"/>
      <c r="F306" s="100"/>
    </row>
    <row r="307" spans="2:6" ht="13.5" customHeight="1">
      <c r="B307" s="102"/>
      <c r="C307" s="102"/>
      <c r="E307" s="123"/>
      <c r="F307" s="100"/>
    </row>
    <row r="308" spans="2:6" ht="13.5" customHeight="1">
      <c r="B308" s="102"/>
      <c r="C308" s="102"/>
      <c r="E308" s="123"/>
      <c r="F308" s="100"/>
    </row>
    <row r="309" spans="2:6" ht="13.5" customHeight="1">
      <c r="B309" s="102"/>
      <c r="C309" s="102"/>
      <c r="E309" s="123"/>
      <c r="F309" s="100"/>
    </row>
    <row r="310" spans="2:6" ht="13.5" customHeight="1">
      <c r="B310" s="102"/>
      <c r="C310" s="102"/>
      <c r="E310" s="123"/>
      <c r="F310" s="100"/>
    </row>
    <row r="311" spans="2:6" ht="13.5" customHeight="1">
      <c r="B311" s="102"/>
      <c r="C311" s="102"/>
      <c r="E311" s="123"/>
      <c r="F311" s="100"/>
    </row>
    <row r="312" spans="2:6" ht="13.5" customHeight="1">
      <c r="B312" s="102"/>
      <c r="C312" s="102"/>
      <c r="E312" s="123"/>
      <c r="F312" s="100"/>
    </row>
    <row r="313" spans="2:6" ht="13.5" customHeight="1">
      <c r="B313" s="102"/>
      <c r="C313" s="102"/>
      <c r="E313" s="123"/>
      <c r="F313" s="100"/>
    </row>
    <row r="314" spans="2:6" ht="13.5" customHeight="1">
      <c r="B314" s="102"/>
      <c r="C314" s="102"/>
      <c r="E314" s="123"/>
      <c r="F314" s="100"/>
    </row>
    <row r="315" spans="2:6" ht="13.5" customHeight="1">
      <c r="B315" s="102"/>
      <c r="C315" s="102"/>
      <c r="E315" s="123"/>
      <c r="F315" s="100"/>
    </row>
    <row r="316" spans="2:6" ht="13.5" customHeight="1">
      <c r="B316" s="102"/>
      <c r="C316" s="102"/>
      <c r="E316" s="123"/>
      <c r="F316" s="100"/>
    </row>
    <row r="317" spans="2:6" ht="13.5" customHeight="1">
      <c r="B317" s="102"/>
      <c r="C317" s="102"/>
      <c r="E317" s="123"/>
      <c r="F317" s="100"/>
    </row>
    <row r="318" spans="2:6" ht="13.5" customHeight="1">
      <c r="B318" s="102"/>
      <c r="C318" s="102"/>
      <c r="E318" s="123"/>
      <c r="F318" s="100"/>
    </row>
    <row r="319" spans="2:6" ht="13.5" customHeight="1">
      <c r="B319" s="102"/>
      <c r="C319" s="102"/>
      <c r="E319" s="123"/>
      <c r="F319" s="100"/>
    </row>
    <row r="320" spans="2:6" ht="13.5" customHeight="1">
      <c r="B320" s="102"/>
      <c r="C320" s="102"/>
      <c r="E320" s="123"/>
      <c r="F320" s="100"/>
    </row>
    <row r="321" spans="2:6" ht="13.5" customHeight="1">
      <c r="B321" s="102"/>
      <c r="C321" s="102"/>
      <c r="E321" s="123"/>
      <c r="F321" s="100"/>
    </row>
    <row r="322" spans="2:6" ht="13.5" customHeight="1">
      <c r="B322" s="102"/>
      <c r="C322" s="102"/>
      <c r="E322" s="123"/>
      <c r="F322" s="100"/>
    </row>
    <row r="323" spans="2:6" ht="13.5" customHeight="1">
      <c r="B323" s="102"/>
      <c r="C323" s="102"/>
      <c r="E323" s="123"/>
      <c r="F323" s="100"/>
    </row>
    <row r="324" spans="2:6" ht="13.5" customHeight="1">
      <c r="B324" s="102"/>
      <c r="C324" s="102"/>
      <c r="E324" s="123"/>
      <c r="F324" s="100"/>
    </row>
    <row r="325" spans="2:6" ht="13.5" customHeight="1">
      <c r="B325" s="102"/>
      <c r="C325" s="102"/>
      <c r="E325" s="123"/>
      <c r="F325" s="100"/>
    </row>
    <row r="326" spans="2:6" ht="13.5" customHeight="1">
      <c r="B326" s="102"/>
      <c r="C326" s="102"/>
      <c r="E326" s="123"/>
      <c r="F326" s="100"/>
    </row>
    <row r="327" spans="2:6" ht="13.5" customHeight="1">
      <c r="B327" s="102"/>
      <c r="C327" s="102"/>
      <c r="E327" s="123"/>
      <c r="F327" s="100"/>
    </row>
    <row r="328" spans="2:6" ht="13.5" customHeight="1">
      <c r="B328" s="102"/>
      <c r="C328" s="102"/>
      <c r="E328" s="123"/>
      <c r="F328" s="100"/>
    </row>
    <row r="329" spans="2:6" ht="13.5" customHeight="1">
      <c r="B329" s="102"/>
      <c r="C329" s="102"/>
      <c r="E329" s="123"/>
      <c r="F329" s="100"/>
    </row>
    <row r="330" spans="2:6" ht="13.5" customHeight="1">
      <c r="B330" s="102"/>
      <c r="C330" s="102"/>
      <c r="E330" s="123"/>
      <c r="F330" s="100"/>
    </row>
    <row r="331" spans="2:6" ht="13.5" customHeight="1">
      <c r="B331" s="102"/>
      <c r="C331" s="102"/>
      <c r="E331" s="123"/>
      <c r="F331" s="100"/>
    </row>
    <row r="332" spans="2:6" ht="13.5" customHeight="1">
      <c r="B332" s="102"/>
      <c r="C332" s="102"/>
      <c r="E332" s="123"/>
      <c r="F332" s="100"/>
    </row>
    <row r="333" spans="2:6" ht="13.5" customHeight="1">
      <c r="B333" s="102"/>
      <c r="C333" s="102"/>
      <c r="E333" s="123"/>
      <c r="F333" s="100"/>
    </row>
    <row r="334" spans="2:6" ht="13.5" customHeight="1">
      <c r="B334" s="102"/>
      <c r="C334" s="102"/>
      <c r="E334" s="123"/>
      <c r="F334" s="100"/>
    </row>
    <row r="335" spans="2:6" ht="13.5" customHeight="1">
      <c r="B335" s="102"/>
      <c r="C335" s="102"/>
      <c r="E335" s="123"/>
      <c r="F335" s="100"/>
    </row>
    <row r="336" spans="2:6" ht="13.5" customHeight="1">
      <c r="B336" s="102"/>
      <c r="C336" s="102"/>
      <c r="E336" s="123"/>
      <c r="F336" s="100"/>
    </row>
    <row r="337" spans="2:6" ht="13.5" customHeight="1">
      <c r="B337" s="102"/>
      <c r="C337" s="102"/>
      <c r="E337" s="123"/>
      <c r="F337" s="100"/>
    </row>
    <row r="338" spans="2:6" ht="13.5" customHeight="1">
      <c r="B338" s="102"/>
      <c r="C338" s="102"/>
      <c r="E338" s="123"/>
      <c r="F338" s="100"/>
    </row>
    <row r="339" spans="2:6" ht="13.5" customHeight="1">
      <c r="B339" s="102"/>
      <c r="C339" s="102"/>
      <c r="E339" s="123"/>
      <c r="F339" s="100"/>
    </row>
    <row r="340" spans="2:6" ht="13.5" customHeight="1">
      <c r="B340" s="102"/>
      <c r="C340" s="102"/>
      <c r="E340" s="123"/>
      <c r="F340" s="100"/>
    </row>
    <row r="341" spans="2:6" ht="13.5" customHeight="1">
      <c r="B341" s="102"/>
      <c r="C341" s="102"/>
      <c r="E341" s="123"/>
      <c r="F341" s="100"/>
    </row>
    <row r="342" spans="2:6" ht="13.5" customHeight="1">
      <c r="B342" s="102"/>
      <c r="C342" s="102"/>
      <c r="E342" s="123"/>
      <c r="F342" s="100"/>
    </row>
    <row r="343" spans="2:6" ht="13.5" customHeight="1">
      <c r="B343" s="102"/>
      <c r="C343" s="102"/>
      <c r="E343" s="123"/>
      <c r="F343" s="100"/>
    </row>
    <row r="344" spans="2:6" ht="13.5" customHeight="1">
      <c r="B344" s="102"/>
      <c r="C344" s="102"/>
      <c r="E344" s="123"/>
      <c r="F344" s="100"/>
    </row>
    <row r="345" spans="2:6" ht="13.5" customHeight="1">
      <c r="B345" s="102"/>
      <c r="C345" s="102"/>
      <c r="E345" s="123"/>
      <c r="F345" s="100"/>
    </row>
    <row r="346" spans="2:6" ht="13.5" customHeight="1">
      <c r="B346" s="102"/>
      <c r="C346" s="102"/>
      <c r="E346" s="123"/>
      <c r="F346" s="100"/>
    </row>
    <row r="347" spans="2:6" ht="13.5" customHeight="1">
      <c r="B347" s="102"/>
      <c r="C347" s="102"/>
      <c r="E347" s="123"/>
      <c r="F347" s="100"/>
    </row>
    <row r="348" spans="2:6" ht="13.5" customHeight="1">
      <c r="B348" s="102"/>
      <c r="C348" s="102"/>
      <c r="E348" s="123"/>
      <c r="F348" s="100"/>
    </row>
    <row r="349" spans="2:6" ht="13.5" customHeight="1">
      <c r="B349" s="102"/>
      <c r="C349" s="102"/>
      <c r="E349" s="123"/>
      <c r="F349" s="100"/>
    </row>
    <row r="350" spans="2:6" ht="13.5" customHeight="1">
      <c r="B350" s="102"/>
      <c r="C350" s="102"/>
      <c r="E350" s="123"/>
      <c r="F350" s="100"/>
    </row>
    <row r="351" spans="2:6" ht="13.5" customHeight="1">
      <c r="B351" s="102"/>
      <c r="C351" s="102"/>
      <c r="E351" s="123"/>
      <c r="F351" s="100"/>
    </row>
    <row r="352" spans="2:6" ht="13.5" customHeight="1">
      <c r="B352" s="102"/>
      <c r="C352" s="102"/>
      <c r="E352" s="123"/>
      <c r="F352" s="100"/>
    </row>
    <row r="353" spans="2:6" ht="13.5" customHeight="1">
      <c r="B353" s="102"/>
      <c r="C353" s="102"/>
      <c r="E353" s="123"/>
      <c r="F353" s="100"/>
    </row>
    <row r="354" spans="2:6" ht="13.5" customHeight="1">
      <c r="B354" s="102"/>
      <c r="C354" s="102"/>
      <c r="E354" s="123"/>
      <c r="F354" s="100"/>
    </row>
    <row r="355" spans="2:6" ht="13.5" customHeight="1">
      <c r="B355" s="102"/>
      <c r="C355" s="102"/>
      <c r="E355" s="123"/>
      <c r="F355" s="100"/>
    </row>
    <row r="356" spans="2:6" ht="13.5" customHeight="1">
      <c r="B356" s="102"/>
      <c r="C356" s="102"/>
      <c r="E356" s="123"/>
      <c r="F356" s="100"/>
    </row>
    <row r="357" spans="2:6" ht="13.5" customHeight="1">
      <c r="B357" s="102"/>
      <c r="C357" s="102"/>
      <c r="E357" s="123"/>
      <c r="F357" s="100"/>
    </row>
    <row r="358" spans="2:6" ht="13.5" customHeight="1">
      <c r="B358" s="102"/>
      <c r="C358" s="102"/>
      <c r="E358" s="123"/>
      <c r="F358" s="100"/>
    </row>
    <row r="359" spans="2:6" ht="13.5" customHeight="1">
      <c r="B359" s="102"/>
      <c r="C359" s="102"/>
      <c r="E359" s="123"/>
      <c r="F359" s="100"/>
    </row>
    <row r="360" spans="2:6" ht="13.5" customHeight="1">
      <c r="B360" s="102"/>
      <c r="C360" s="102"/>
      <c r="E360" s="123"/>
      <c r="F360" s="100"/>
    </row>
    <row r="361" spans="2:6" ht="13.5" customHeight="1">
      <c r="B361" s="102"/>
      <c r="C361" s="102"/>
      <c r="E361" s="123"/>
      <c r="F361" s="100"/>
    </row>
    <row r="362" spans="2:6" ht="13.5" customHeight="1">
      <c r="B362" s="102"/>
      <c r="C362" s="102"/>
      <c r="E362" s="123"/>
      <c r="F362" s="100"/>
    </row>
    <row r="363" spans="2:6" ht="13.5" customHeight="1">
      <c r="B363" s="102"/>
      <c r="C363" s="102"/>
      <c r="E363" s="123"/>
      <c r="F363" s="100"/>
    </row>
    <row r="364" spans="2:6" ht="13.5" customHeight="1">
      <c r="B364" s="102"/>
      <c r="C364" s="102"/>
      <c r="E364" s="123"/>
      <c r="F364" s="100"/>
    </row>
    <row r="365" spans="2:6" ht="13.5" customHeight="1">
      <c r="B365" s="102"/>
      <c r="C365" s="102"/>
      <c r="E365" s="123"/>
      <c r="F365" s="100"/>
    </row>
    <row r="366" spans="2:6" ht="13.5" customHeight="1">
      <c r="B366" s="102"/>
      <c r="C366" s="102"/>
      <c r="E366" s="123"/>
      <c r="F366" s="100"/>
    </row>
    <row r="367" spans="2:6" ht="13.5" customHeight="1">
      <c r="B367" s="102"/>
      <c r="C367" s="102"/>
      <c r="E367" s="123"/>
      <c r="F367" s="100"/>
    </row>
    <row r="368" spans="2:6" ht="13.5" customHeight="1">
      <c r="B368" s="102"/>
      <c r="C368" s="102"/>
      <c r="E368" s="123"/>
      <c r="F368" s="100"/>
    </row>
    <row r="369" spans="2:6" ht="13.5" customHeight="1">
      <c r="B369" s="102"/>
      <c r="C369" s="102"/>
      <c r="E369" s="123"/>
      <c r="F369" s="100"/>
    </row>
    <row r="370" spans="2:6" ht="13.5" customHeight="1">
      <c r="B370" s="102"/>
      <c r="C370" s="102"/>
      <c r="E370" s="123"/>
      <c r="F370" s="100"/>
    </row>
    <row r="371" spans="2:6" ht="13.5" customHeight="1">
      <c r="B371" s="102"/>
      <c r="C371" s="102"/>
      <c r="E371" s="123"/>
      <c r="F371" s="100"/>
    </row>
    <row r="372" spans="2:6" ht="13.5" customHeight="1">
      <c r="B372" s="102"/>
      <c r="C372" s="102"/>
      <c r="E372" s="123"/>
      <c r="F372" s="100"/>
    </row>
    <row r="373" spans="2:6" ht="13.5" customHeight="1">
      <c r="B373" s="102"/>
      <c r="C373" s="102"/>
      <c r="E373" s="123"/>
      <c r="F373" s="100"/>
    </row>
    <row r="374" spans="2:6" ht="13.5" customHeight="1">
      <c r="B374" s="102"/>
      <c r="C374" s="102"/>
      <c r="E374" s="123"/>
      <c r="F374" s="100"/>
    </row>
    <row r="375" spans="2:6" ht="13.5" customHeight="1">
      <c r="B375" s="102"/>
      <c r="C375" s="102"/>
      <c r="E375" s="123"/>
      <c r="F375" s="100"/>
    </row>
    <row r="376" spans="2:6" ht="13.5" customHeight="1">
      <c r="B376" s="102"/>
      <c r="C376" s="102"/>
      <c r="E376" s="123"/>
      <c r="F376" s="100"/>
    </row>
    <row r="377" spans="2:6" ht="13.5" customHeight="1">
      <c r="B377" s="102"/>
      <c r="C377" s="102"/>
      <c r="E377" s="123"/>
      <c r="F377" s="100"/>
    </row>
    <row r="378" spans="2:6" ht="13.5" customHeight="1">
      <c r="B378" s="102"/>
      <c r="C378" s="102"/>
      <c r="E378" s="123"/>
      <c r="F378" s="100"/>
    </row>
    <row r="379" spans="2:6" ht="13.5" customHeight="1">
      <c r="B379" s="102"/>
      <c r="C379" s="102"/>
      <c r="E379" s="123"/>
      <c r="F379" s="100"/>
    </row>
    <row r="380" spans="2:6" ht="13.5" customHeight="1">
      <c r="B380" s="102"/>
      <c r="C380" s="102"/>
      <c r="E380" s="123"/>
      <c r="F380" s="100"/>
    </row>
    <row r="381" spans="2:6" ht="13.5" customHeight="1">
      <c r="B381" s="102"/>
      <c r="C381" s="102"/>
      <c r="E381" s="123"/>
      <c r="F381" s="100"/>
    </row>
    <row r="382" spans="2:6" ht="13.5" customHeight="1">
      <c r="B382" s="102"/>
      <c r="C382" s="102"/>
      <c r="E382" s="123"/>
      <c r="F382" s="100"/>
    </row>
    <row r="383" spans="2:6" ht="13.5" customHeight="1">
      <c r="B383" s="102"/>
      <c r="C383" s="102"/>
      <c r="E383" s="123"/>
      <c r="F383" s="100"/>
    </row>
    <row r="384" spans="2:6" ht="13.5" customHeight="1">
      <c r="B384" s="102"/>
      <c r="C384" s="102"/>
      <c r="E384" s="123"/>
      <c r="F384" s="100"/>
    </row>
    <row r="385" spans="2:6" ht="13.5" customHeight="1">
      <c r="B385" s="102"/>
      <c r="C385" s="102"/>
      <c r="E385" s="123"/>
      <c r="F385" s="100"/>
    </row>
    <row r="386" spans="2:6" ht="13.5" customHeight="1">
      <c r="B386" s="102"/>
      <c r="C386" s="102"/>
      <c r="E386" s="123"/>
      <c r="F386" s="100"/>
    </row>
    <row r="387" spans="2:6" ht="13.5" customHeight="1">
      <c r="B387" s="102"/>
      <c r="C387" s="102"/>
      <c r="E387" s="123"/>
      <c r="F387" s="100"/>
    </row>
    <row r="388" spans="2:6" ht="13.5" customHeight="1">
      <c r="B388" s="102"/>
      <c r="C388" s="102"/>
      <c r="E388" s="123"/>
      <c r="F388" s="100"/>
    </row>
    <row r="389" spans="2:6" ht="13.5" customHeight="1">
      <c r="B389" s="102"/>
      <c r="C389" s="102"/>
      <c r="E389" s="123"/>
      <c r="F389" s="100"/>
    </row>
    <row r="390" spans="2:6" ht="13.5" customHeight="1">
      <c r="B390" s="102"/>
      <c r="C390" s="102"/>
      <c r="E390" s="123"/>
      <c r="F390" s="100"/>
    </row>
    <row r="391" spans="2:6" ht="13.5" customHeight="1">
      <c r="B391" s="102"/>
      <c r="C391" s="102"/>
      <c r="E391" s="123"/>
      <c r="F391" s="100"/>
    </row>
    <row r="392" spans="2:6" ht="13.5" customHeight="1">
      <c r="B392" s="102"/>
      <c r="C392" s="102"/>
      <c r="E392" s="123"/>
      <c r="F392" s="100"/>
    </row>
    <row r="393" spans="2:6" ht="13.5" customHeight="1">
      <c r="B393" s="102"/>
      <c r="C393" s="102"/>
      <c r="E393" s="123"/>
      <c r="F393" s="100"/>
    </row>
    <row r="394" spans="2:6" ht="13.5" customHeight="1">
      <c r="B394" s="102"/>
      <c r="C394" s="102"/>
      <c r="E394" s="123"/>
      <c r="F394" s="100"/>
    </row>
    <row r="395" spans="2:6" ht="13.5" customHeight="1">
      <c r="B395" s="102"/>
      <c r="C395" s="102"/>
      <c r="E395" s="123"/>
      <c r="F395" s="100"/>
    </row>
    <row r="396" spans="2:6" ht="13.5" customHeight="1">
      <c r="B396" s="102"/>
      <c r="C396" s="102"/>
      <c r="E396" s="123"/>
      <c r="F396" s="100"/>
    </row>
    <row r="397" spans="2:6" ht="13.5" customHeight="1">
      <c r="B397" s="102"/>
      <c r="C397" s="102"/>
      <c r="E397" s="123"/>
      <c r="F397" s="100"/>
    </row>
    <row r="398" spans="2:6" ht="13.5" customHeight="1">
      <c r="B398" s="102"/>
      <c r="C398" s="102"/>
      <c r="E398" s="123"/>
      <c r="F398" s="100"/>
    </row>
    <row r="399" spans="2:6" ht="13.5" customHeight="1">
      <c r="B399" s="102"/>
      <c r="C399" s="102"/>
      <c r="E399" s="123"/>
      <c r="F399" s="100"/>
    </row>
    <row r="400" spans="2:6" ht="13.5" customHeight="1">
      <c r="B400" s="102"/>
      <c r="C400" s="102"/>
      <c r="E400" s="123"/>
      <c r="F400" s="100"/>
    </row>
    <row r="401" spans="2:6" ht="13.5" customHeight="1">
      <c r="B401" s="102"/>
      <c r="C401" s="102"/>
      <c r="E401" s="123"/>
      <c r="F401" s="100"/>
    </row>
    <row r="402" spans="2:6" ht="13.5" customHeight="1">
      <c r="B402" s="102"/>
      <c r="C402" s="102"/>
      <c r="E402" s="123"/>
      <c r="F402" s="100"/>
    </row>
    <row r="403" spans="2:6" ht="13.5" customHeight="1">
      <c r="B403" s="102"/>
      <c r="C403" s="102"/>
      <c r="E403" s="123"/>
      <c r="F403" s="100"/>
    </row>
    <row r="404" spans="2:6" ht="13.5" customHeight="1">
      <c r="B404" s="102"/>
      <c r="C404" s="102"/>
      <c r="E404" s="123"/>
      <c r="F404" s="100"/>
    </row>
    <row r="405" spans="2:6" ht="13.5" customHeight="1">
      <c r="B405" s="102"/>
      <c r="C405" s="102"/>
      <c r="E405" s="123"/>
      <c r="F405" s="100"/>
    </row>
    <row r="406" spans="2:6" ht="13.5" customHeight="1">
      <c r="B406" s="102"/>
      <c r="C406" s="102"/>
      <c r="E406" s="123"/>
      <c r="F406" s="100"/>
    </row>
    <row r="407" spans="2:6" ht="13.5" customHeight="1">
      <c r="B407" s="102"/>
      <c r="C407" s="102"/>
      <c r="E407" s="123"/>
      <c r="F407" s="100"/>
    </row>
    <row r="408" spans="2:6" ht="13.5" customHeight="1">
      <c r="B408" s="102"/>
      <c r="C408" s="102"/>
      <c r="E408" s="123"/>
      <c r="F408" s="100"/>
    </row>
    <row r="409" spans="2:6" ht="13.5" customHeight="1">
      <c r="B409" s="102"/>
      <c r="C409" s="102"/>
      <c r="E409" s="123"/>
      <c r="F409" s="100"/>
    </row>
    <row r="410" spans="2:6" ht="13.5" customHeight="1">
      <c r="B410" s="102"/>
      <c r="C410" s="102"/>
      <c r="E410" s="123"/>
      <c r="F410" s="100"/>
    </row>
    <row r="411" spans="2:6" ht="13.5" customHeight="1">
      <c r="B411" s="102"/>
      <c r="C411" s="102"/>
      <c r="E411" s="123"/>
      <c r="F411" s="100"/>
    </row>
    <row r="412" spans="2:6" ht="13.5" customHeight="1">
      <c r="B412" s="102"/>
      <c r="C412" s="102"/>
      <c r="E412" s="123"/>
      <c r="F412" s="100"/>
    </row>
    <row r="413" spans="2:6" ht="13.5" customHeight="1">
      <c r="B413" s="102"/>
      <c r="C413" s="102"/>
      <c r="E413" s="123"/>
      <c r="F413" s="100"/>
    </row>
    <row r="414" spans="2:6" ht="13.5" customHeight="1">
      <c r="B414" s="102"/>
      <c r="C414" s="102"/>
      <c r="E414" s="123"/>
      <c r="F414" s="100"/>
    </row>
    <row r="415" spans="2:6" ht="13.5" customHeight="1">
      <c r="B415" s="102"/>
      <c r="C415" s="102"/>
      <c r="E415" s="123"/>
      <c r="F415" s="100"/>
    </row>
    <row r="416" spans="2:6" ht="13.5" customHeight="1">
      <c r="B416" s="102"/>
      <c r="C416" s="102"/>
      <c r="E416" s="123"/>
      <c r="F416" s="100"/>
    </row>
    <row r="417" spans="2:6" ht="13.5" customHeight="1">
      <c r="B417" s="102"/>
      <c r="C417" s="102"/>
      <c r="E417" s="123"/>
      <c r="F417" s="100"/>
    </row>
    <row r="418" spans="2:6" ht="13.5" customHeight="1">
      <c r="B418" s="102"/>
      <c r="C418" s="102"/>
      <c r="E418" s="123"/>
      <c r="F418" s="100"/>
    </row>
    <row r="419" spans="2:6" ht="13.5" customHeight="1">
      <c r="B419" s="102"/>
      <c r="C419" s="102"/>
      <c r="E419" s="123"/>
      <c r="F419" s="100"/>
    </row>
    <row r="420" spans="2:6" ht="13.5" customHeight="1">
      <c r="B420" s="102"/>
      <c r="C420" s="102"/>
      <c r="E420" s="123"/>
      <c r="F420" s="100"/>
    </row>
    <row r="421" spans="2:6" ht="13.5" customHeight="1">
      <c r="B421" s="102"/>
      <c r="C421" s="102"/>
      <c r="E421" s="123"/>
      <c r="F421" s="100"/>
    </row>
    <row r="422" spans="2:6" ht="13.5" customHeight="1">
      <c r="B422" s="102"/>
      <c r="C422" s="102"/>
      <c r="E422" s="123"/>
      <c r="F422" s="100"/>
    </row>
    <row r="423" spans="2:6" ht="13.5" customHeight="1">
      <c r="B423" s="102"/>
      <c r="C423" s="102"/>
      <c r="E423" s="123"/>
      <c r="F423" s="100"/>
    </row>
    <row r="424" spans="2:6" ht="13.5" customHeight="1">
      <c r="B424" s="102"/>
      <c r="C424" s="102"/>
      <c r="E424" s="123"/>
      <c r="F424" s="100"/>
    </row>
    <row r="425" spans="2:6" ht="13.5" customHeight="1">
      <c r="B425" s="102"/>
      <c r="C425" s="102"/>
      <c r="E425" s="123"/>
      <c r="F425" s="100"/>
    </row>
    <row r="426" spans="2:6" ht="13.5" customHeight="1">
      <c r="B426" s="102"/>
      <c r="C426" s="102"/>
      <c r="E426" s="123"/>
      <c r="F426" s="100"/>
    </row>
    <row r="427" spans="2:6" ht="13.5" customHeight="1">
      <c r="B427" s="102"/>
      <c r="C427" s="102"/>
      <c r="E427" s="123"/>
      <c r="F427" s="100"/>
    </row>
    <row r="428" spans="2:6" ht="13.5" customHeight="1">
      <c r="B428" s="102"/>
      <c r="C428" s="102"/>
      <c r="E428" s="123"/>
      <c r="F428" s="100"/>
    </row>
    <row r="429" spans="2:6" ht="13.5" customHeight="1">
      <c r="B429" s="102"/>
      <c r="C429" s="102"/>
      <c r="E429" s="123"/>
      <c r="F429" s="100"/>
    </row>
    <row r="430" spans="2:6" ht="13.5" customHeight="1">
      <c r="B430" s="102"/>
      <c r="C430" s="102"/>
      <c r="E430" s="123"/>
      <c r="F430" s="100"/>
    </row>
    <row r="431" spans="2:6" ht="13.5" customHeight="1">
      <c r="B431" s="102"/>
      <c r="C431" s="102"/>
      <c r="E431" s="123"/>
      <c r="F431" s="100"/>
    </row>
    <row r="432" spans="2:6" ht="13.5" customHeight="1">
      <c r="B432" s="102"/>
      <c r="C432" s="102"/>
      <c r="E432" s="123"/>
      <c r="F432" s="100"/>
    </row>
    <row r="433" spans="2:6" ht="13.5" customHeight="1">
      <c r="B433" s="102"/>
      <c r="C433" s="102"/>
      <c r="E433" s="123"/>
      <c r="F433" s="100"/>
    </row>
    <row r="434" spans="2:6" ht="13.5" customHeight="1">
      <c r="B434" s="102"/>
      <c r="C434" s="102"/>
      <c r="E434" s="123"/>
      <c r="F434" s="100"/>
    </row>
    <row r="435" spans="2:6" ht="13.5" customHeight="1">
      <c r="B435" s="102"/>
      <c r="C435" s="102"/>
      <c r="E435" s="123"/>
      <c r="F435" s="100"/>
    </row>
    <row r="436" spans="2:6" ht="13.5" customHeight="1">
      <c r="B436" s="102"/>
      <c r="C436" s="102"/>
      <c r="E436" s="123"/>
      <c r="F436" s="100"/>
    </row>
    <row r="437" spans="2:6" ht="13.5" customHeight="1">
      <c r="B437" s="102"/>
      <c r="C437" s="102"/>
      <c r="E437" s="123"/>
      <c r="F437" s="100"/>
    </row>
    <row r="438" spans="2:6" ht="13.5" customHeight="1">
      <c r="B438" s="102"/>
      <c r="C438" s="102"/>
      <c r="E438" s="123"/>
      <c r="F438" s="100"/>
    </row>
    <row r="439" spans="2:6" ht="13.5" customHeight="1">
      <c r="B439" s="102"/>
      <c r="C439" s="102"/>
      <c r="E439" s="123"/>
      <c r="F439" s="100"/>
    </row>
    <row r="440" spans="2:6" ht="13.5" customHeight="1">
      <c r="B440" s="102"/>
      <c r="C440" s="102"/>
      <c r="E440" s="123"/>
      <c r="F440" s="100"/>
    </row>
    <row r="441" spans="2:6" ht="13.5" customHeight="1">
      <c r="B441" s="102"/>
      <c r="C441" s="102"/>
      <c r="E441" s="123"/>
      <c r="F441" s="100"/>
    </row>
    <row r="442" spans="2:6" ht="13.5" customHeight="1">
      <c r="B442" s="102"/>
      <c r="C442" s="102"/>
      <c r="E442" s="123"/>
      <c r="F442" s="100"/>
    </row>
    <row r="443" spans="2:6" ht="13.5" customHeight="1">
      <c r="B443" s="102"/>
      <c r="C443" s="102"/>
      <c r="E443" s="123"/>
      <c r="F443" s="100"/>
    </row>
    <row r="444" spans="2:6" ht="13.5" customHeight="1">
      <c r="B444" s="102"/>
      <c r="C444" s="102"/>
      <c r="E444" s="123"/>
      <c r="F444" s="100"/>
    </row>
    <row r="445" spans="2:6" ht="13.5" customHeight="1">
      <c r="B445" s="102"/>
      <c r="C445" s="102"/>
      <c r="E445" s="123"/>
      <c r="F445" s="100"/>
    </row>
    <row r="446" spans="2:6" ht="13.5" customHeight="1">
      <c r="B446" s="102"/>
      <c r="C446" s="102"/>
      <c r="E446" s="123"/>
      <c r="F446" s="100"/>
    </row>
    <row r="447" spans="2:6" ht="13.5" customHeight="1">
      <c r="B447" s="102"/>
      <c r="C447" s="102"/>
      <c r="E447" s="123"/>
      <c r="F447" s="100"/>
    </row>
    <row r="448" spans="2:6" ht="13.5" customHeight="1">
      <c r="B448" s="102"/>
      <c r="C448" s="102"/>
      <c r="E448" s="123"/>
      <c r="F448" s="100"/>
    </row>
    <row r="449" spans="2:6" ht="13.5" customHeight="1">
      <c r="B449" s="102"/>
      <c r="C449" s="102"/>
      <c r="E449" s="123"/>
      <c r="F449" s="100"/>
    </row>
    <row r="450" spans="2:6" ht="13.5" customHeight="1">
      <c r="B450" s="102"/>
      <c r="C450" s="102"/>
      <c r="E450" s="123"/>
      <c r="F450" s="100"/>
    </row>
    <row r="451" spans="2:6" ht="13.5" customHeight="1">
      <c r="B451" s="102"/>
      <c r="C451" s="102"/>
      <c r="E451" s="123"/>
      <c r="F451" s="100"/>
    </row>
    <row r="452" spans="2:6" ht="13.5" customHeight="1">
      <c r="B452" s="102"/>
      <c r="C452" s="102"/>
      <c r="E452" s="123"/>
      <c r="F452" s="100"/>
    </row>
    <row r="453" spans="2:6" ht="13.5" customHeight="1">
      <c r="B453" s="102"/>
      <c r="C453" s="102"/>
      <c r="E453" s="123"/>
      <c r="F453" s="100"/>
    </row>
    <row r="454" spans="2:6" ht="13.5" customHeight="1">
      <c r="B454" s="102"/>
      <c r="C454" s="102"/>
      <c r="E454" s="123"/>
      <c r="F454" s="100"/>
    </row>
    <row r="455" spans="2:6" ht="13.5" customHeight="1">
      <c r="B455" s="102"/>
      <c r="C455" s="102"/>
      <c r="E455" s="123"/>
      <c r="F455" s="100"/>
    </row>
    <row r="456" spans="2:6" ht="13.5" customHeight="1">
      <c r="B456" s="102"/>
      <c r="C456" s="102"/>
      <c r="E456" s="123"/>
      <c r="F456" s="100"/>
    </row>
    <row r="457" spans="2:6" ht="13.5" customHeight="1">
      <c r="B457" s="102"/>
      <c r="C457" s="102"/>
      <c r="E457" s="123"/>
      <c r="F457" s="100"/>
    </row>
    <row r="458" spans="2:6" ht="13.5" customHeight="1">
      <c r="B458" s="102"/>
      <c r="C458" s="102"/>
      <c r="E458" s="123"/>
      <c r="F458" s="100"/>
    </row>
    <row r="459" spans="2:6" ht="13.5" customHeight="1">
      <c r="B459" s="102"/>
      <c r="C459" s="102"/>
      <c r="E459" s="123"/>
      <c r="F459" s="100"/>
    </row>
    <row r="460" spans="2:6" ht="13.5" customHeight="1">
      <c r="B460" s="102"/>
      <c r="C460" s="102"/>
      <c r="E460" s="123"/>
      <c r="F460" s="100"/>
    </row>
    <row r="461" spans="2:6" ht="13.5" customHeight="1">
      <c r="B461" s="102"/>
      <c r="C461" s="102"/>
      <c r="E461" s="123"/>
      <c r="F461" s="100"/>
    </row>
    <row r="462" spans="2:6" ht="13.5" customHeight="1">
      <c r="B462" s="102"/>
      <c r="C462" s="102"/>
      <c r="E462" s="123"/>
      <c r="F462" s="100"/>
    </row>
    <row r="463" spans="2:6" ht="13.5" customHeight="1">
      <c r="B463" s="102"/>
      <c r="C463" s="102"/>
      <c r="E463" s="123"/>
      <c r="F463" s="100"/>
    </row>
    <row r="464" spans="2:6" ht="13.5" customHeight="1">
      <c r="B464" s="102"/>
      <c r="C464" s="102"/>
      <c r="E464" s="123"/>
      <c r="F464" s="100"/>
    </row>
    <row r="465" spans="2:6" ht="13.5" customHeight="1">
      <c r="B465" s="102"/>
      <c r="C465" s="102"/>
      <c r="E465" s="123"/>
      <c r="F465" s="100"/>
    </row>
    <row r="466" spans="2:6" ht="13.5" customHeight="1">
      <c r="B466" s="102"/>
      <c r="C466" s="102"/>
      <c r="E466" s="123"/>
      <c r="F466" s="100"/>
    </row>
    <row r="467" spans="2:6" ht="13.5" customHeight="1">
      <c r="B467" s="102"/>
      <c r="C467" s="102"/>
      <c r="E467" s="123"/>
      <c r="F467" s="100"/>
    </row>
    <row r="468" spans="2:6" ht="13.5" customHeight="1">
      <c r="B468" s="102"/>
      <c r="C468" s="102"/>
      <c r="E468" s="123"/>
      <c r="F468" s="100"/>
    </row>
    <row r="469" spans="2:6" ht="13.5" customHeight="1">
      <c r="B469" s="102"/>
      <c r="C469" s="102"/>
      <c r="E469" s="123"/>
      <c r="F469" s="100"/>
    </row>
    <row r="470" spans="2:6" ht="13.5" customHeight="1">
      <c r="B470" s="102"/>
      <c r="C470" s="102"/>
      <c r="E470" s="123"/>
      <c r="F470" s="100"/>
    </row>
    <row r="471" spans="2:6" ht="13.5" customHeight="1">
      <c r="B471" s="102"/>
      <c r="C471" s="102"/>
      <c r="E471" s="123"/>
      <c r="F471" s="100"/>
    </row>
    <row r="472" spans="2:6" ht="13.5" customHeight="1">
      <c r="B472" s="102"/>
      <c r="C472" s="102"/>
      <c r="E472" s="123"/>
      <c r="F472" s="100"/>
    </row>
    <row r="473" spans="2:6" ht="13.5" customHeight="1">
      <c r="B473" s="102"/>
      <c r="C473" s="102"/>
      <c r="E473" s="123"/>
      <c r="F473" s="100"/>
    </row>
    <row r="474" spans="2:6" ht="13.5" customHeight="1">
      <c r="B474" s="102"/>
      <c r="C474" s="102"/>
      <c r="E474" s="123"/>
      <c r="F474" s="100"/>
    </row>
    <row r="475" spans="2:6" ht="13.5" customHeight="1">
      <c r="B475" s="102"/>
      <c r="C475" s="102"/>
      <c r="E475" s="123"/>
      <c r="F475" s="100"/>
    </row>
    <row r="476" spans="2:6" ht="13.5" customHeight="1">
      <c r="B476" s="102"/>
      <c r="C476" s="102"/>
      <c r="E476" s="123"/>
      <c r="F476" s="100"/>
    </row>
    <row r="477" spans="2:6" ht="13.5" customHeight="1">
      <c r="B477" s="102"/>
      <c r="C477" s="102"/>
      <c r="E477" s="123"/>
      <c r="F477" s="100"/>
    </row>
    <row r="478" spans="2:6" ht="13.5" customHeight="1">
      <c r="B478" s="102"/>
      <c r="C478" s="102"/>
      <c r="E478" s="123"/>
      <c r="F478" s="100"/>
    </row>
    <row r="479" spans="2:6" ht="13.5" customHeight="1">
      <c r="B479" s="102"/>
      <c r="C479" s="102"/>
      <c r="E479" s="123"/>
      <c r="F479" s="100"/>
    </row>
    <row r="480" spans="2:6" ht="13.5" customHeight="1">
      <c r="B480" s="102"/>
      <c r="C480" s="102"/>
      <c r="E480" s="123"/>
      <c r="F480" s="100"/>
    </row>
    <row r="481" spans="2:6" ht="13.5" customHeight="1">
      <c r="B481" s="102"/>
      <c r="C481" s="102"/>
      <c r="E481" s="123"/>
      <c r="F481" s="100"/>
    </row>
    <row r="482" spans="2:6" ht="13.5" customHeight="1">
      <c r="B482" s="102"/>
      <c r="C482" s="102"/>
      <c r="E482" s="123"/>
      <c r="F482" s="100"/>
    </row>
    <row r="483" spans="2:6" ht="13.5" customHeight="1">
      <c r="B483" s="102"/>
      <c r="C483" s="102"/>
      <c r="E483" s="123"/>
      <c r="F483" s="100"/>
    </row>
    <row r="484" spans="2:6" ht="13.5" customHeight="1">
      <c r="B484" s="102"/>
      <c r="C484" s="102"/>
      <c r="E484" s="123"/>
      <c r="F484" s="100"/>
    </row>
    <row r="485" spans="2:6" ht="13.5" customHeight="1">
      <c r="B485" s="102"/>
      <c r="C485" s="102"/>
      <c r="E485" s="123"/>
      <c r="F485" s="100"/>
    </row>
    <row r="486" spans="2:6" ht="13.5" customHeight="1">
      <c r="B486" s="102"/>
      <c r="C486" s="102"/>
      <c r="E486" s="123"/>
      <c r="F486" s="100"/>
    </row>
    <row r="487" spans="2:6" ht="13.5" customHeight="1">
      <c r="B487" s="102"/>
      <c r="C487" s="102"/>
      <c r="E487" s="123"/>
      <c r="F487" s="100"/>
    </row>
    <row r="488" spans="2:6" ht="13.5" customHeight="1">
      <c r="B488" s="102"/>
      <c r="C488" s="102"/>
      <c r="E488" s="123"/>
      <c r="F488" s="100"/>
    </row>
    <row r="489" spans="2:6" ht="13.5" customHeight="1">
      <c r="B489" s="102"/>
      <c r="C489" s="102"/>
      <c r="E489" s="123"/>
      <c r="F489" s="100"/>
    </row>
    <row r="490" spans="2:6" ht="13.5" customHeight="1">
      <c r="B490" s="102"/>
      <c r="C490" s="102"/>
      <c r="E490" s="123"/>
      <c r="F490" s="100"/>
    </row>
    <row r="491" spans="2:6" ht="13.5" customHeight="1">
      <c r="B491" s="102"/>
      <c r="C491" s="102"/>
      <c r="E491" s="123"/>
      <c r="F491" s="100"/>
    </row>
    <row r="492" spans="2:6" ht="13.5" customHeight="1">
      <c r="B492" s="102"/>
      <c r="C492" s="102"/>
      <c r="E492" s="123"/>
      <c r="F492" s="100"/>
    </row>
    <row r="493" spans="2:6" ht="13.5" customHeight="1">
      <c r="B493" s="102"/>
      <c r="C493" s="102"/>
      <c r="E493" s="123"/>
      <c r="F493" s="100"/>
    </row>
    <row r="494" spans="2:6" ht="13.5" customHeight="1">
      <c r="B494" s="102"/>
      <c r="C494" s="102"/>
      <c r="E494" s="123"/>
      <c r="F494" s="100"/>
    </row>
    <row r="495" spans="2:6" ht="13.5" customHeight="1">
      <c r="B495" s="102"/>
      <c r="C495" s="102"/>
      <c r="E495" s="123"/>
      <c r="F495" s="100"/>
    </row>
    <row r="496" spans="2:6" ht="13.5" customHeight="1">
      <c r="B496" s="102"/>
      <c r="C496" s="102"/>
      <c r="E496" s="123"/>
      <c r="F496" s="100"/>
    </row>
    <row r="497" spans="2:6" ht="13.5" customHeight="1">
      <c r="B497" s="102"/>
      <c r="C497" s="102"/>
      <c r="E497" s="123"/>
      <c r="F497" s="100"/>
    </row>
    <row r="498" spans="2:6" ht="13.5" customHeight="1">
      <c r="B498" s="102"/>
      <c r="C498" s="102"/>
      <c r="E498" s="123"/>
      <c r="F498" s="100"/>
    </row>
    <row r="499" spans="2:6" ht="13.5" customHeight="1">
      <c r="B499" s="102"/>
      <c r="C499" s="102"/>
      <c r="E499" s="123"/>
      <c r="F499" s="100"/>
    </row>
    <row r="500" spans="2:6" ht="13.5" customHeight="1">
      <c r="B500" s="102"/>
      <c r="C500" s="102"/>
      <c r="E500" s="123"/>
      <c r="F500" s="100"/>
    </row>
    <row r="501" spans="2:6" ht="13.5" customHeight="1">
      <c r="B501" s="102"/>
      <c r="C501" s="102"/>
      <c r="E501" s="123"/>
      <c r="F501" s="100"/>
    </row>
    <row r="502" spans="2:6" ht="13.5" customHeight="1">
      <c r="B502" s="102"/>
      <c r="C502" s="102"/>
      <c r="E502" s="123"/>
      <c r="F502" s="100"/>
    </row>
    <row r="503" spans="2:6" ht="13.5" customHeight="1">
      <c r="B503" s="102"/>
      <c r="C503" s="102"/>
      <c r="E503" s="123"/>
      <c r="F503" s="100"/>
    </row>
    <row r="504" spans="2:6" ht="13.5" customHeight="1">
      <c r="B504" s="102"/>
      <c r="C504" s="102"/>
      <c r="E504" s="123"/>
      <c r="F504" s="100"/>
    </row>
    <row r="505" spans="2:6" ht="13.5" customHeight="1">
      <c r="B505" s="102"/>
      <c r="C505" s="102"/>
      <c r="E505" s="123"/>
      <c r="F505" s="100"/>
    </row>
    <row r="506" spans="2:6" ht="13.5" customHeight="1">
      <c r="B506" s="102"/>
      <c r="C506" s="102"/>
      <c r="E506" s="123"/>
      <c r="F506" s="100"/>
    </row>
    <row r="507" spans="2:6" ht="13.5" customHeight="1">
      <c r="B507" s="102"/>
      <c r="C507" s="102"/>
      <c r="E507" s="123"/>
      <c r="F507" s="100"/>
    </row>
    <row r="508" spans="2:6" ht="13.5" customHeight="1">
      <c r="B508" s="102"/>
      <c r="C508" s="102"/>
      <c r="E508" s="123"/>
      <c r="F508" s="100"/>
    </row>
    <row r="509" spans="2:6" ht="13.5" customHeight="1">
      <c r="B509" s="102"/>
      <c r="C509" s="102"/>
      <c r="E509" s="123"/>
      <c r="F509" s="100"/>
    </row>
    <row r="510" spans="2:6" ht="13.5" customHeight="1">
      <c r="B510" s="102"/>
      <c r="C510" s="102"/>
      <c r="E510" s="123"/>
      <c r="F510" s="100"/>
    </row>
    <row r="511" spans="2:6" ht="13.5" customHeight="1">
      <c r="B511" s="102"/>
      <c r="C511" s="102"/>
      <c r="E511" s="123"/>
      <c r="F511" s="100"/>
    </row>
    <row r="512" spans="2:6" ht="13.5" customHeight="1">
      <c r="B512" s="102"/>
      <c r="C512" s="102"/>
      <c r="E512" s="123"/>
      <c r="F512" s="100"/>
    </row>
    <row r="513" spans="2:6" ht="13.5" customHeight="1">
      <c r="B513" s="102"/>
      <c r="C513" s="102"/>
      <c r="E513" s="123"/>
      <c r="F513" s="100"/>
    </row>
    <row r="514" spans="2:6" ht="13.5" customHeight="1">
      <c r="B514" s="102"/>
      <c r="C514" s="102"/>
      <c r="E514" s="123"/>
      <c r="F514" s="100"/>
    </row>
    <row r="515" spans="2:6" ht="13.5" customHeight="1">
      <c r="B515" s="102"/>
      <c r="C515" s="102"/>
      <c r="E515" s="123"/>
      <c r="F515" s="100"/>
    </row>
    <row r="516" spans="2:6" ht="13.5" customHeight="1">
      <c r="B516" s="102"/>
      <c r="C516" s="102"/>
      <c r="E516" s="123"/>
      <c r="F516" s="100"/>
    </row>
    <row r="517" spans="2:6" ht="13.5" customHeight="1">
      <c r="B517" s="102"/>
      <c r="C517" s="102"/>
      <c r="E517" s="123"/>
      <c r="F517" s="100"/>
    </row>
    <row r="518" spans="2:6" ht="13.5" customHeight="1">
      <c r="B518" s="102"/>
      <c r="C518" s="102"/>
      <c r="E518" s="123"/>
      <c r="F518" s="100"/>
    </row>
    <row r="519" spans="2:6" ht="13.5" customHeight="1">
      <c r="B519" s="102"/>
      <c r="C519" s="102"/>
      <c r="E519" s="123"/>
      <c r="F519" s="100"/>
    </row>
    <row r="520" spans="2:6" ht="13.5" customHeight="1">
      <c r="B520" s="102"/>
      <c r="C520" s="102"/>
      <c r="E520" s="123"/>
      <c r="F520" s="100"/>
    </row>
    <row r="521" spans="2:6" ht="13.5" customHeight="1">
      <c r="B521" s="102"/>
      <c r="C521" s="102"/>
      <c r="E521" s="123"/>
      <c r="F521" s="100"/>
    </row>
    <row r="522" spans="2:6" ht="13.5" customHeight="1">
      <c r="B522" s="102"/>
      <c r="C522" s="102"/>
      <c r="E522" s="123"/>
      <c r="F522" s="100"/>
    </row>
    <row r="523" spans="2:6" ht="13.5" customHeight="1">
      <c r="B523" s="102"/>
      <c r="C523" s="102"/>
      <c r="E523" s="123"/>
      <c r="F523" s="100"/>
    </row>
    <row r="524" spans="2:6" ht="13.5" customHeight="1">
      <c r="B524" s="102"/>
      <c r="C524" s="102"/>
      <c r="E524" s="123"/>
      <c r="F524" s="100"/>
    </row>
    <row r="525" spans="2:6" ht="13.5" customHeight="1">
      <c r="B525" s="102"/>
      <c r="C525" s="102"/>
      <c r="E525" s="123"/>
      <c r="F525" s="100"/>
    </row>
    <row r="526" spans="2:6" ht="13.5" customHeight="1">
      <c r="B526" s="102"/>
      <c r="C526" s="102"/>
      <c r="E526" s="123"/>
      <c r="F526" s="100"/>
    </row>
    <row r="527" spans="2:6" ht="13.5" customHeight="1">
      <c r="B527" s="102"/>
      <c r="C527" s="102"/>
      <c r="E527" s="123"/>
      <c r="F527" s="100"/>
    </row>
    <row r="528" spans="2:6" ht="13.5" customHeight="1">
      <c r="B528" s="102"/>
      <c r="C528" s="102"/>
      <c r="E528" s="123"/>
      <c r="F528" s="100"/>
    </row>
    <row r="529" spans="2:6" ht="13.5" customHeight="1">
      <c r="B529" s="102"/>
      <c r="C529" s="102"/>
      <c r="E529" s="123"/>
      <c r="F529" s="100"/>
    </row>
    <row r="530" spans="2:6" ht="13.5" customHeight="1">
      <c r="B530" s="102"/>
      <c r="C530" s="102"/>
      <c r="E530" s="123"/>
      <c r="F530" s="100"/>
    </row>
    <row r="531" spans="2:6" ht="13.5" customHeight="1">
      <c r="B531" s="102"/>
      <c r="C531" s="102"/>
      <c r="E531" s="123"/>
      <c r="F531" s="100"/>
    </row>
    <row r="532" spans="2:6" ht="13.5" customHeight="1">
      <c r="B532" s="102"/>
      <c r="C532" s="102"/>
      <c r="E532" s="123"/>
      <c r="F532" s="100"/>
    </row>
    <row r="533" spans="2:6" ht="13.5" customHeight="1">
      <c r="B533" s="102"/>
      <c r="C533" s="102"/>
      <c r="E533" s="123"/>
      <c r="F533" s="100"/>
    </row>
    <row r="534" spans="2:6" ht="13.5" customHeight="1">
      <c r="B534" s="102"/>
      <c r="C534" s="102"/>
      <c r="E534" s="123"/>
      <c r="F534" s="100"/>
    </row>
    <row r="535" spans="2:6" ht="13.5" customHeight="1">
      <c r="B535" s="102"/>
      <c r="C535" s="102"/>
      <c r="E535" s="123"/>
      <c r="F535" s="100"/>
    </row>
    <row r="536" spans="2:6" ht="13.5" customHeight="1">
      <c r="B536" s="102"/>
      <c r="C536" s="102"/>
      <c r="E536" s="123"/>
      <c r="F536" s="100"/>
    </row>
    <row r="537" spans="2:6" ht="13.5" customHeight="1">
      <c r="B537" s="102"/>
      <c r="C537" s="102"/>
      <c r="E537" s="123"/>
      <c r="F537" s="100"/>
    </row>
    <row r="538" spans="2:6" ht="13.5" customHeight="1">
      <c r="B538" s="102"/>
      <c r="C538" s="102"/>
      <c r="E538" s="123"/>
      <c r="F538" s="100"/>
    </row>
    <row r="539" spans="2:6" ht="13.5" customHeight="1">
      <c r="B539" s="102"/>
      <c r="C539" s="102"/>
      <c r="E539" s="123"/>
      <c r="F539" s="100"/>
    </row>
    <row r="540" spans="2:6" ht="13.5" customHeight="1">
      <c r="B540" s="102"/>
      <c r="C540" s="102"/>
      <c r="E540" s="123"/>
      <c r="F540" s="100"/>
    </row>
    <row r="541" spans="2:6" ht="13.5" customHeight="1">
      <c r="B541" s="102"/>
      <c r="C541" s="102"/>
      <c r="E541" s="123"/>
      <c r="F541" s="100"/>
    </row>
    <row r="542" spans="2:6" ht="13.5" customHeight="1">
      <c r="B542" s="102"/>
      <c r="C542" s="102"/>
      <c r="E542" s="123"/>
      <c r="F542" s="100"/>
    </row>
    <row r="543" spans="2:6" ht="13.5" customHeight="1">
      <c r="B543" s="102"/>
      <c r="C543" s="102"/>
      <c r="E543" s="123"/>
      <c r="F543" s="100"/>
    </row>
    <row r="544" spans="2:6" ht="13.5" customHeight="1">
      <c r="B544" s="102"/>
      <c r="C544" s="102"/>
      <c r="E544" s="123"/>
      <c r="F544" s="100"/>
    </row>
    <row r="545" spans="2:6" ht="13.5" customHeight="1">
      <c r="B545" s="102"/>
      <c r="C545" s="102"/>
      <c r="E545" s="123"/>
      <c r="F545" s="100"/>
    </row>
    <row r="546" spans="2:6" ht="13.5" customHeight="1">
      <c r="B546" s="102"/>
      <c r="C546" s="102"/>
      <c r="E546" s="123"/>
      <c r="F546" s="100"/>
    </row>
    <row r="547" spans="2:6" ht="13.5" customHeight="1">
      <c r="B547" s="102"/>
      <c r="C547" s="102"/>
      <c r="E547" s="123"/>
      <c r="F547" s="100"/>
    </row>
    <row r="548" spans="2:6" ht="13.5" customHeight="1">
      <c r="B548" s="102"/>
      <c r="C548" s="102"/>
      <c r="E548" s="123"/>
      <c r="F548" s="100"/>
    </row>
    <row r="549" spans="2:6" ht="13.5" customHeight="1">
      <c r="B549" s="102"/>
      <c r="C549" s="102"/>
      <c r="E549" s="123"/>
      <c r="F549" s="100"/>
    </row>
    <row r="550" spans="2:6" ht="13.5" customHeight="1">
      <c r="B550" s="102"/>
      <c r="C550" s="102"/>
      <c r="E550" s="123"/>
      <c r="F550" s="100"/>
    </row>
    <row r="551" spans="2:6" ht="13.5" customHeight="1">
      <c r="B551" s="102"/>
      <c r="C551" s="102"/>
      <c r="E551" s="123"/>
      <c r="F551" s="100"/>
    </row>
    <row r="552" spans="2:6" ht="13.5" customHeight="1">
      <c r="B552" s="102"/>
      <c r="C552" s="102"/>
      <c r="E552" s="123"/>
      <c r="F552" s="100"/>
    </row>
    <row r="553" spans="2:6" ht="13.5" customHeight="1">
      <c r="B553" s="102"/>
      <c r="C553" s="102"/>
      <c r="E553" s="123"/>
      <c r="F553" s="100"/>
    </row>
    <row r="554" spans="2:6" ht="13.5" customHeight="1">
      <c r="B554" s="102"/>
      <c r="C554" s="102"/>
      <c r="E554" s="123"/>
      <c r="F554" s="100"/>
    </row>
    <row r="555" spans="2:6" ht="13.5" customHeight="1">
      <c r="B555" s="102"/>
      <c r="C555" s="102"/>
      <c r="E555" s="123"/>
      <c r="F555" s="100"/>
    </row>
    <row r="556" spans="2:6" ht="13.5" customHeight="1">
      <c r="B556" s="102"/>
      <c r="C556" s="102"/>
      <c r="E556" s="123"/>
      <c r="F556" s="100"/>
    </row>
    <row r="557" spans="2:6" ht="13.5" customHeight="1">
      <c r="B557" s="102"/>
      <c r="C557" s="102"/>
      <c r="E557" s="123"/>
      <c r="F557" s="100"/>
    </row>
    <row r="558" spans="2:6" ht="13.5" customHeight="1">
      <c r="B558" s="102"/>
      <c r="C558" s="102"/>
      <c r="E558" s="123"/>
      <c r="F558" s="100"/>
    </row>
    <row r="559" spans="2:6" ht="13.5" customHeight="1">
      <c r="B559" s="102"/>
      <c r="C559" s="102"/>
      <c r="E559" s="123"/>
      <c r="F559" s="100"/>
    </row>
    <row r="560" spans="2:6" ht="13.5" customHeight="1">
      <c r="B560" s="102"/>
      <c r="C560" s="102"/>
      <c r="E560" s="123"/>
      <c r="F560" s="100"/>
    </row>
    <row r="561" spans="2:6" ht="13.5" customHeight="1">
      <c r="B561" s="102"/>
      <c r="C561" s="102"/>
      <c r="E561" s="123"/>
      <c r="F561" s="100"/>
    </row>
    <row r="562" spans="2:6" ht="13.5" customHeight="1">
      <c r="B562" s="102"/>
      <c r="C562" s="102"/>
      <c r="E562" s="123"/>
      <c r="F562" s="100"/>
    </row>
    <row r="563" spans="2:6" ht="13.5" customHeight="1">
      <c r="B563" s="102"/>
      <c r="C563" s="102"/>
      <c r="E563" s="123"/>
      <c r="F563" s="100"/>
    </row>
    <row r="564" spans="2:6" ht="13.5" customHeight="1">
      <c r="B564" s="102"/>
      <c r="C564" s="102"/>
      <c r="E564" s="123"/>
      <c r="F564" s="100"/>
    </row>
    <row r="565" spans="2:6" ht="13.5" customHeight="1">
      <c r="B565" s="102"/>
      <c r="C565" s="102"/>
      <c r="E565" s="123"/>
      <c r="F565" s="100"/>
    </row>
    <row r="566" spans="2:6" ht="13.5" customHeight="1">
      <c r="B566" s="102"/>
      <c r="C566" s="102"/>
      <c r="E566" s="123"/>
      <c r="F566" s="100"/>
    </row>
    <row r="567" spans="2:6" ht="13.5" customHeight="1">
      <c r="B567" s="102"/>
      <c r="C567" s="102"/>
      <c r="E567" s="123"/>
      <c r="F567" s="100"/>
    </row>
    <row r="568" spans="2:6" ht="13.5" customHeight="1">
      <c r="B568" s="102"/>
      <c r="C568" s="102"/>
      <c r="E568" s="123"/>
      <c r="F568" s="100"/>
    </row>
    <row r="569" spans="2:6" ht="13.5" customHeight="1">
      <c r="B569" s="102"/>
      <c r="C569" s="102"/>
      <c r="E569" s="123"/>
      <c r="F569" s="100"/>
    </row>
    <row r="570" spans="2:6" ht="13.5" customHeight="1">
      <c r="B570" s="102"/>
      <c r="C570" s="102"/>
      <c r="E570" s="123"/>
      <c r="F570" s="100"/>
    </row>
    <row r="571" spans="2:6" ht="13.5" customHeight="1">
      <c r="B571" s="102"/>
      <c r="C571" s="102"/>
      <c r="E571" s="123"/>
      <c r="F571" s="100"/>
    </row>
    <row r="572" spans="2:6" ht="13.5" customHeight="1">
      <c r="B572" s="102"/>
      <c r="C572" s="102"/>
      <c r="E572" s="123"/>
      <c r="F572" s="100"/>
    </row>
    <row r="573" spans="2:6" ht="13.5" customHeight="1">
      <c r="B573" s="102"/>
      <c r="C573" s="102"/>
      <c r="E573" s="123"/>
      <c r="F573" s="100"/>
    </row>
    <row r="574" spans="2:6" ht="13.5" customHeight="1">
      <c r="B574" s="102"/>
      <c r="C574" s="102"/>
      <c r="E574" s="123"/>
      <c r="F574" s="100"/>
    </row>
    <row r="575" spans="2:6" ht="13.5" customHeight="1">
      <c r="B575" s="102"/>
      <c r="C575" s="102"/>
      <c r="E575" s="123"/>
      <c r="F575" s="100"/>
    </row>
    <row r="576" spans="2:6" ht="13.5" customHeight="1">
      <c r="B576" s="102"/>
      <c r="C576" s="102"/>
      <c r="E576" s="123"/>
      <c r="F576" s="100"/>
    </row>
    <row r="577" spans="2:6" ht="13.5" customHeight="1">
      <c r="B577" s="102"/>
      <c r="C577" s="102"/>
      <c r="E577" s="123"/>
      <c r="F577" s="100"/>
    </row>
    <row r="578" spans="2:6" ht="13.5" customHeight="1">
      <c r="B578" s="102"/>
      <c r="C578" s="102"/>
      <c r="E578" s="123"/>
      <c r="F578" s="100"/>
    </row>
    <row r="579" spans="2:6" ht="13.5" customHeight="1">
      <c r="B579" s="102"/>
      <c r="C579" s="102"/>
      <c r="E579" s="123"/>
      <c r="F579" s="100"/>
    </row>
    <row r="580" spans="2:6" ht="13.5" customHeight="1">
      <c r="B580" s="102"/>
      <c r="C580" s="102"/>
      <c r="E580" s="123"/>
      <c r="F580" s="100"/>
    </row>
    <row r="581" spans="2:6" ht="13.5" customHeight="1">
      <c r="B581" s="102"/>
      <c r="C581" s="102"/>
      <c r="E581" s="123"/>
      <c r="F581" s="100"/>
    </row>
    <row r="582" spans="2:6" ht="13.5" customHeight="1">
      <c r="B582" s="102"/>
      <c r="C582" s="102"/>
      <c r="E582" s="123"/>
      <c r="F582" s="100"/>
    </row>
    <row r="583" spans="2:6" ht="13.5" customHeight="1">
      <c r="B583" s="102"/>
      <c r="C583" s="102"/>
      <c r="E583" s="123"/>
      <c r="F583" s="100"/>
    </row>
    <row r="584" spans="2:6" ht="13.5" customHeight="1">
      <c r="B584" s="102"/>
      <c r="C584" s="102"/>
      <c r="E584" s="123"/>
      <c r="F584" s="100"/>
    </row>
    <row r="585" spans="2:6" ht="13.5" customHeight="1">
      <c r="B585" s="102"/>
      <c r="C585" s="102"/>
      <c r="E585" s="123"/>
      <c r="F585" s="100"/>
    </row>
    <row r="586" spans="2:6" ht="13.5" customHeight="1">
      <c r="B586" s="102"/>
      <c r="C586" s="102"/>
      <c r="E586" s="123"/>
      <c r="F586" s="100"/>
    </row>
    <row r="587" spans="2:6" ht="13.5" customHeight="1">
      <c r="B587" s="102"/>
      <c r="C587" s="102"/>
      <c r="E587" s="123"/>
      <c r="F587" s="100"/>
    </row>
    <row r="588" spans="2:6" ht="13.5" customHeight="1">
      <c r="B588" s="102"/>
      <c r="C588" s="102"/>
      <c r="E588" s="123"/>
      <c r="F588" s="100"/>
    </row>
    <row r="589" spans="2:6" ht="13.5" customHeight="1">
      <c r="B589" s="102"/>
      <c r="C589" s="102"/>
      <c r="E589" s="123"/>
      <c r="F589" s="100"/>
    </row>
    <row r="590" spans="2:6" ht="13.5" customHeight="1">
      <c r="B590" s="102"/>
      <c r="C590" s="102"/>
      <c r="E590" s="123"/>
      <c r="F590" s="100"/>
    </row>
    <row r="591" spans="2:6" ht="13.5" customHeight="1">
      <c r="B591" s="102"/>
      <c r="C591" s="102"/>
      <c r="E591" s="123"/>
      <c r="F591" s="100"/>
    </row>
    <row r="592" spans="2:6" ht="13.5" customHeight="1">
      <c r="B592" s="102"/>
      <c r="C592" s="102"/>
      <c r="E592" s="123"/>
      <c r="F592" s="100"/>
    </row>
    <row r="593" spans="2:6" ht="13.5" customHeight="1">
      <c r="B593" s="102"/>
      <c r="C593" s="102"/>
      <c r="E593" s="123"/>
      <c r="F593" s="100"/>
    </row>
    <row r="594" spans="2:6" ht="13.5" customHeight="1">
      <c r="B594" s="102"/>
      <c r="C594" s="102"/>
      <c r="E594" s="123"/>
      <c r="F594" s="100"/>
    </row>
    <row r="595" spans="2:6" ht="13.5" customHeight="1">
      <c r="B595" s="102"/>
      <c r="C595" s="102"/>
      <c r="E595" s="123"/>
      <c r="F595" s="100"/>
    </row>
    <row r="596" spans="2:6" ht="13.5" customHeight="1">
      <c r="B596" s="102"/>
      <c r="C596" s="102"/>
      <c r="E596" s="123"/>
      <c r="F596" s="100"/>
    </row>
    <row r="597" spans="2:6" ht="13.5" customHeight="1">
      <c r="B597" s="102"/>
      <c r="C597" s="102"/>
      <c r="E597" s="123"/>
      <c r="F597" s="100"/>
    </row>
    <row r="598" spans="2:6" ht="13.5" customHeight="1">
      <c r="B598" s="102"/>
      <c r="C598" s="102"/>
      <c r="E598" s="123"/>
      <c r="F598" s="100"/>
    </row>
    <row r="599" spans="2:6" ht="13.5" customHeight="1">
      <c r="B599" s="102"/>
      <c r="C599" s="102"/>
      <c r="E599" s="123"/>
      <c r="F599" s="100"/>
    </row>
    <row r="600" spans="2:6" ht="13.5" customHeight="1">
      <c r="B600" s="102"/>
      <c r="C600" s="102"/>
      <c r="E600" s="123"/>
      <c r="F600" s="100"/>
    </row>
    <row r="601" spans="2:6" ht="13.5" customHeight="1">
      <c r="B601" s="102"/>
      <c r="C601" s="102"/>
      <c r="E601" s="123"/>
      <c r="F601" s="100"/>
    </row>
    <row r="602" spans="2:6" ht="13.5" customHeight="1">
      <c r="B602" s="102"/>
      <c r="C602" s="102"/>
      <c r="E602" s="123"/>
      <c r="F602" s="100"/>
    </row>
    <row r="603" spans="2:6" ht="13.5" customHeight="1">
      <c r="B603" s="102"/>
      <c r="C603" s="102"/>
      <c r="E603" s="123"/>
      <c r="F603" s="100"/>
    </row>
    <row r="604" spans="2:6" ht="13.5" customHeight="1">
      <c r="B604" s="102"/>
      <c r="C604" s="102"/>
      <c r="E604" s="123"/>
      <c r="F604" s="100"/>
    </row>
    <row r="605" spans="2:6" ht="13.5" customHeight="1">
      <c r="B605" s="102"/>
      <c r="C605" s="102"/>
      <c r="E605" s="123"/>
      <c r="F605" s="100"/>
    </row>
    <row r="606" spans="2:6" ht="13.5" customHeight="1">
      <c r="B606" s="102"/>
      <c r="C606" s="102"/>
      <c r="E606" s="123"/>
      <c r="F606" s="100"/>
    </row>
    <row r="607" spans="2:6" ht="13.5" customHeight="1">
      <c r="B607" s="102"/>
      <c r="C607" s="102"/>
      <c r="E607" s="123"/>
      <c r="F607" s="100"/>
    </row>
    <row r="608" spans="2:6" ht="13.5" customHeight="1">
      <c r="B608" s="102"/>
      <c r="C608" s="102"/>
      <c r="E608" s="123"/>
      <c r="F608" s="100"/>
    </row>
    <row r="609" spans="2:6" ht="13.5" customHeight="1">
      <c r="B609" s="102"/>
      <c r="C609" s="102"/>
      <c r="E609" s="123"/>
      <c r="F609" s="100"/>
    </row>
    <row r="610" spans="2:6" ht="13.5" customHeight="1">
      <c r="B610" s="102"/>
      <c r="C610" s="102"/>
      <c r="E610" s="123"/>
      <c r="F610" s="100"/>
    </row>
    <row r="611" spans="2:6" ht="13.5" customHeight="1">
      <c r="B611" s="102"/>
      <c r="C611" s="102"/>
      <c r="E611" s="123"/>
      <c r="F611" s="100"/>
    </row>
    <row r="612" spans="2:6" ht="13.5" customHeight="1">
      <c r="B612" s="102"/>
      <c r="C612" s="102"/>
      <c r="E612" s="123"/>
      <c r="F612" s="100"/>
    </row>
    <row r="613" spans="2:6" ht="13.5" customHeight="1">
      <c r="B613" s="102"/>
      <c r="C613" s="102"/>
      <c r="E613" s="123"/>
      <c r="F613" s="100"/>
    </row>
    <row r="614" spans="2:6" ht="13.5" customHeight="1">
      <c r="B614" s="102"/>
      <c r="C614" s="102"/>
      <c r="E614" s="123"/>
      <c r="F614" s="100"/>
    </row>
    <row r="615" spans="2:6" ht="13.5" customHeight="1">
      <c r="B615" s="102"/>
      <c r="C615" s="102"/>
      <c r="E615" s="123"/>
      <c r="F615" s="100"/>
    </row>
    <row r="616" spans="2:6" ht="13.5" customHeight="1">
      <c r="B616" s="102"/>
      <c r="C616" s="102"/>
      <c r="E616" s="123"/>
      <c r="F616" s="100"/>
    </row>
    <row r="617" spans="2:6" ht="13.5" customHeight="1">
      <c r="B617" s="102"/>
      <c r="C617" s="102"/>
      <c r="E617" s="123"/>
      <c r="F617" s="100"/>
    </row>
    <row r="618" spans="2:6" ht="13.5" customHeight="1">
      <c r="B618" s="102"/>
      <c r="C618" s="102"/>
      <c r="E618" s="123"/>
      <c r="F618" s="100"/>
    </row>
    <row r="619" spans="2:6" ht="13.5" customHeight="1">
      <c r="B619" s="102"/>
      <c r="C619" s="102"/>
      <c r="E619" s="123"/>
      <c r="F619" s="100"/>
    </row>
    <row r="620" spans="2:6" ht="13.5" customHeight="1">
      <c r="B620" s="102"/>
      <c r="C620" s="102"/>
      <c r="E620" s="123"/>
      <c r="F620" s="100"/>
    </row>
    <row r="621" spans="2:6" ht="13.5" customHeight="1">
      <c r="B621" s="102"/>
      <c r="C621" s="102"/>
      <c r="E621" s="123"/>
      <c r="F621" s="100"/>
    </row>
    <row r="622" spans="2:6" ht="13.5" customHeight="1">
      <c r="B622" s="102"/>
      <c r="C622" s="102"/>
      <c r="E622" s="123"/>
      <c r="F622" s="100"/>
    </row>
    <row r="623" spans="2:6" ht="13.5" customHeight="1">
      <c r="B623" s="102"/>
      <c r="C623" s="102"/>
      <c r="E623" s="123"/>
      <c r="F623" s="100"/>
    </row>
    <row r="624" spans="2:6" ht="13.5" customHeight="1">
      <c r="B624" s="102"/>
      <c r="C624" s="102"/>
      <c r="E624" s="123"/>
      <c r="F624" s="100"/>
    </row>
    <row r="625" spans="2:6" ht="13.5" customHeight="1">
      <c r="B625" s="102"/>
      <c r="C625" s="102"/>
      <c r="E625" s="123"/>
      <c r="F625" s="100"/>
    </row>
    <row r="626" spans="2:6" ht="13.5" customHeight="1">
      <c r="B626" s="102"/>
      <c r="C626" s="102"/>
      <c r="E626" s="123"/>
      <c r="F626" s="100"/>
    </row>
    <row r="627" spans="2:6" ht="13.5" customHeight="1">
      <c r="B627" s="102"/>
      <c r="C627" s="102"/>
      <c r="E627" s="123"/>
      <c r="F627" s="100"/>
    </row>
    <row r="628" spans="2:6" ht="13.5" customHeight="1">
      <c r="B628" s="102"/>
      <c r="C628" s="102"/>
      <c r="E628" s="123"/>
      <c r="F628" s="100"/>
    </row>
    <row r="629" spans="2:6" ht="13.5" customHeight="1">
      <c r="B629" s="102"/>
      <c r="C629" s="102"/>
      <c r="E629" s="123"/>
      <c r="F629" s="100"/>
    </row>
    <row r="630" spans="2:6" ht="13.5" customHeight="1">
      <c r="B630" s="102"/>
      <c r="C630" s="102"/>
      <c r="E630" s="123"/>
      <c r="F630" s="100"/>
    </row>
    <row r="631" spans="2:6" ht="13.5" customHeight="1">
      <c r="B631" s="102"/>
      <c r="C631" s="102"/>
      <c r="E631" s="123"/>
      <c r="F631" s="100"/>
    </row>
    <row r="632" spans="2:6" ht="13.5" customHeight="1">
      <c r="B632" s="102"/>
      <c r="C632" s="102"/>
      <c r="E632" s="123"/>
      <c r="F632" s="100"/>
    </row>
    <row r="633" spans="2:6" ht="13.5" customHeight="1">
      <c r="B633" s="102"/>
      <c r="C633" s="102"/>
      <c r="E633" s="123"/>
      <c r="F633" s="100"/>
    </row>
    <row r="634" spans="2:6" ht="13.5" customHeight="1">
      <c r="B634" s="102"/>
      <c r="C634" s="102"/>
      <c r="E634" s="123"/>
      <c r="F634" s="100"/>
    </row>
    <row r="635" spans="2:6" ht="13.5" customHeight="1">
      <c r="B635" s="102"/>
      <c r="C635" s="102"/>
      <c r="E635" s="123"/>
      <c r="F635" s="100"/>
    </row>
    <row r="636" spans="2:6" ht="13.5" customHeight="1">
      <c r="B636" s="102"/>
      <c r="C636" s="102"/>
      <c r="E636" s="123"/>
      <c r="F636" s="100"/>
    </row>
    <row r="637" spans="2:6" ht="13.5" customHeight="1">
      <c r="B637" s="102"/>
      <c r="C637" s="102"/>
      <c r="E637" s="123"/>
      <c r="F637" s="100"/>
    </row>
    <row r="638" spans="2:6" ht="13.5" customHeight="1">
      <c r="B638" s="102"/>
      <c r="C638" s="102"/>
      <c r="E638" s="123"/>
      <c r="F638" s="100"/>
    </row>
    <row r="639" spans="2:6" ht="13.5" customHeight="1">
      <c r="B639" s="102"/>
      <c r="C639" s="102"/>
      <c r="E639" s="123"/>
      <c r="F639" s="100"/>
    </row>
    <row r="640" spans="2:6" ht="13.5" customHeight="1">
      <c r="B640" s="102"/>
      <c r="C640" s="102"/>
      <c r="E640" s="123"/>
      <c r="F640" s="100"/>
    </row>
    <row r="641" spans="2:6" ht="13.5" customHeight="1">
      <c r="B641" s="102"/>
      <c r="C641" s="102"/>
      <c r="E641" s="123"/>
      <c r="F641" s="100"/>
    </row>
    <row r="642" spans="2:6" ht="13.5" customHeight="1">
      <c r="B642" s="102"/>
      <c r="C642" s="102"/>
      <c r="E642" s="123"/>
      <c r="F642" s="100"/>
    </row>
    <row r="643" spans="2:6" ht="13.5" customHeight="1">
      <c r="B643" s="102"/>
      <c r="C643" s="102"/>
      <c r="E643" s="123"/>
      <c r="F643" s="100"/>
    </row>
    <row r="644" spans="2:6" ht="13.5" customHeight="1">
      <c r="B644" s="102"/>
      <c r="C644" s="102"/>
      <c r="E644" s="123"/>
      <c r="F644" s="100"/>
    </row>
    <row r="645" spans="2:6" ht="13.5" customHeight="1">
      <c r="B645" s="102"/>
      <c r="C645" s="102"/>
      <c r="E645" s="123"/>
      <c r="F645" s="100"/>
    </row>
    <row r="646" spans="2:6" ht="13.5" customHeight="1">
      <c r="B646" s="102"/>
      <c r="C646" s="102"/>
      <c r="E646" s="123"/>
      <c r="F646" s="100"/>
    </row>
    <row r="647" spans="2:6" ht="13.5" customHeight="1">
      <c r="B647" s="102"/>
      <c r="C647" s="102"/>
      <c r="E647" s="123"/>
      <c r="F647" s="100"/>
    </row>
    <row r="648" spans="2:6" ht="13.5" customHeight="1">
      <c r="B648" s="102"/>
      <c r="C648" s="102"/>
      <c r="E648" s="123"/>
      <c r="F648" s="100"/>
    </row>
    <row r="649" spans="2:6" ht="13.5" customHeight="1">
      <c r="B649" s="102"/>
      <c r="C649" s="102"/>
      <c r="E649" s="123"/>
      <c r="F649" s="100"/>
    </row>
    <row r="650" spans="2:6" ht="13.5" customHeight="1">
      <c r="B650" s="102"/>
      <c r="C650" s="102"/>
      <c r="E650" s="123"/>
      <c r="F650" s="100"/>
    </row>
    <row r="651" spans="2:6" ht="13.5" customHeight="1">
      <c r="B651" s="102"/>
      <c r="C651" s="102"/>
      <c r="E651" s="123"/>
      <c r="F651" s="100"/>
    </row>
    <row r="652" spans="2:6" ht="13.5" customHeight="1">
      <c r="B652" s="102"/>
      <c r="C652" s="102"/>
      <c r="E652" s="123"/>
      <c r="F652" s="100"/>
    </row>
    <row r="653" spans="2:6" ht="13.5" customHeight="1">
      <c r="B653" s="102"/>
      <c r="C653" s="102"/>
      <c r="E653" s="123"/>
      <c r="F653" s="100"/>
    </row>
    <row r="654" spans="2:6" ht="13.5" customHeight="1">
      <c r="B654" s="102"/>
      <c r="C654" s="102"/>
      <c r="E654" s="123"/>
      <c r="F654" s="100"/>
    </row>
    <row r="655" spans="2:6" ht="13.5" customHeight="1">
      <c r="B655" s="102"/>
      <c r="C655" s="102"/>
      <c r="E655" s="123"/>
      <c r="F655" s="100"/>
    </row>
    <row r="656" spans="2:6" ht="13.5" customHeight="1">
      <c r="B656" s="102"/>
      <c r="C656" s="102"/>
      <c r="E656" s="123"/>
      <c r="F656" s="100"/>
    </row>
    <row r="657" spans="2:6" ht="13.5" customHeight="1">
      <c r="B657" s="102"/>
      <c r="C657" s="102"/>
      <c r="E657" s="123"/>
      <c r="F657" s="100"/>
    </row>
    <row r="658" spans="2:6" ht="13.5" customHeight="1">
      <c r="B658" s="102"/>
      <c r="C658" s="102"/>
      <c r="E658" s="123"/>
      <c r="F658" s="100"/>
    </row>
    <row r="659" spans="2:6" ht="13.5" customHeight="1">
      <c r="B659" s="102"/>
      <c r="C659" s="102"/>
      <c r="E659" s="123"/>
      <c r="F659" s="100"/>
    </row>
    <row r="660" spans="2:6" ht="13.5" customHeight="1">
      <c r="B660" s="102"/>
      <c r="C660" s="102"/>
      <c r="E660" s="123"/>
      <c r="F660" s="100"/>
    </row>
    <row r="661" spans="2:6" ht="13.5" customHeight="1">
      <c r="B661" s="102"/>
      <c r="C661" s="102"/>
      <c r="E661" s="123"/>
      <c r="F661" s="100"/>
    </row>
    <row r="662" spans="2:6" ht="13.5" customHeight="1">
      <c r="B662" s="102"/>
      <c r="C662" s="102"/>
      <c r="E662" s="123"/>
      <c r="F662" s="100"/>
    </row>
    <row r="663" spans="2:6" ht="13.5" customHeight="1">
      <c r="B663" s="102"/>
      <c r="C663" s="102"/>
      <c r="E663" s="123"/>
      <c r="F663" s="100"/>
    </row>
    <row r="664" spans="2:6" ht="13.5" customHeight="1">
      <c r="B664" s="102"/>
      <c r="C664" s="102"/>
      <c r="E664" s="123"/>
      <c r="F664" s="100"/>
    </row>
    <row r="665" spans="2:6" ht="13.5" customHeight="1">
      <c r="B665" s="102"/>
      <c r="C665" s="102"/>
      <c r="E665" s="123"/>
      <c r="F665" s="100"/>
    </row>
    <row r="666" spans="2:6" ht="13.5" customHeight="1">
      <c r="B666" s="102"/>
      <c r="C666" s="102"/>
      <c r="E666" s="123"/>
      <c r="F666" s="100"/>
    </row>
    <row r="667" spans="2:6" ht="13.5" customHeight="1">
      <c r="B667" s="102"/>
      <c r="C667" s="102"/>
      <c r="E667" s="123"/>
      <c r="F667" s="100"/>
    </row>
    <row r="668" spans="2:6" ht="13.5" customHeight="1">
      <c r="B668" s="102"/>
      <c r="C668" s="102"/>
      <c r="E668" s="123"/>
      <c r="F668" s="100"/>
    </row>
    <row r="669" spans="2:6" ht="13.5" customHeight="1">
      <c r="B669" s="102"/>
      <c r="C669" s="102"/>
      <c r="E669" s="123"/>
      <c r="F669" s="100"/>
    </row>
    <row r="670" spans="2:6" ht="13.5" customHeight="1">
      <c r="B670" s="102"/>
      <c r="C670" s="102"/>
      <c r="E670" s="123"/>
      <c r="F670" s="100"/>
    </row>
    <row r="671" spans="2:6" ht="13.5" customHeight="1">
      <c r="B671" s="102"/>
      <c r="C671" s="102"/>
      <c r="E671" s="123"/>
      <c r="F671" s="100"/>
    </row>
    <row r="672" spans="2:6" ht="13.5" customHeight="1">
      <c r="B672" s="102"/>
      <c r="C672" s="102"/>
      <c r="E672" s="123"/>
      <c r="F672" s="100"/>
    </row>
    <row r="673" spans="2:6" ht="13.5" customHeight="1">
      <c r="B673" s="102"/>
      <c r="C673" s="102"/>
      <c r="E673" s="123"/>
      <c r="F673" s="100"/>
    </row>
    <row r="674" spans="2:6" ht="13.5" customHeight="1">
      <c r="B674" s="102"/>
      <c r="C674" s="102"/>
      <c r="E674" s="123"/>
      <c r="F674" s="100"/>
    </row>
    <row r="675" spans="2:6" ht="13.5" customHeight="1">
      <c r="B675" s="102"/>
      <c r="C675" s="102"/>
      <c r="E675" s="123"/>
      <c r="F675" s="100"/>
    </row>
    <row r="676" spans="2:6" ht="13.5" customHeight="1">
      <c r="B676" s="102"/>
      <c r="C676" s="102"/>
      <c r="E676" s="123"/>
      <c r="F676" s="100"/>
    </row>
    <row r="677" spans="2:6" ht="13.5" customHeight="1">
      <c r="B677" s="102"/>
      <c r="C677" s="102"/>
      <c r="E677" s="123"/>
      <c r="F677" s="100"/>
    </row>
    <row r="678" spans="2:6" ht="13.5" customHeight="1">
      <c r="B678" s="102"/>
      <c r="C678" s="102"/>
      <c r="E678" s="123"/>
      <c r="F678" s="100"/>
    </row>
    <row r="679" spans="2:6" ht="13.5" customHeight="1">
      <c r="B679" s="102"/>
      <c r="C679" s="102"/>
      <c r="E679" s="123"/>
      <c r="F679" s="100"/>
    </row>
    <row r="680" spans="2:6" ht="13.5" customHeight="1">
      <c r="B680" s="102"/>
      <c r="C680" s="102"/>
      <c r="E680" s="123"/>
      <c r="F680" s="100"/>
    </row>
    <row r="681" spans="2:6" ht="13.5" customHeight="1">
      <c r="B681" s="102"/>
      <c r="C681" s="102"/>
      <c r="E681" s="123"/>
      <c r="F681" s="100"/>
    </row>
    <row r="682" spans="2:6" ht="13.5" customHeight="1">
      <c r="B682" s="102"/>
      <c r="C682" s="102"/>
      <c r="E682" s="123"/>
      <c r="F682" s="100"/>
    </row>
    <row r="683" spans="2:6" ht="13.5" customHeight="1">
      <c r="B683" s="102"/>
      <c r="C683" s="102"/>
      <c r="E683" s="123"/>
      <c r="F683" s="100"/>
    </row>
    <row r="684" spans="2:6" ht="13.5" customHeight="1">
      <c r="B684" s="102"/>
      <c r="C684" s="102"/>
      <c r="E684" s="123"/>
      <c r="F684" s="100"/>
    </row>
    <row r="685" spans="2:6" ht="13.5" customHeight="1">
      <c r="B685" s="102"/>
      <c r="C685" s="102"/>
      <c r="E685" s="123"/>
      <c r="F685" s="100"/>
    </row>
    <row r="686" spans="2:6" ht="13.5" customHeight="1">
      <c r="B686" s="102"/>
      <c r="C686" s="102"/>
      <c r="E686" s="123"/>
      <c r="F686" s="100"/>
    </row>
    <row r="687" spans="2:6" ht="13.5" customHeight="1">
      <c r="B687" s="102"/>
      <c r="C687" s="102"/>
      <c r="E687" s="123"/>
      <c r="F687" s="100"/>
    </row>
    <row r="688" spans="2:6" ht="13.5" customHeight="1">
      <c r="B688" s="102"/>
      <c r="C688" s="102"/>
      <c r="E688" s="123"/>
      <c r="F688" s="100"/>
    </row>
    <row r="689" spans="2:6" ht="13.5" customHeight="1">
      <c r="B689" s="102"/>
      <c r="C689" s="102"/>
      <c r="E689" s="123"/>
      <c r="F689" s="100"/>
    </row>
    <row r="690" spans="2:6" ht="13.5" customHeight="1">
      <c r="B690" s="102"/>
      <c r="C690" s="102"/>
      <c r="E690" s="123"/>
      <c r="F690" s="100"/>
    </row>
    <row r="691" spans="2:6" ht="13.5" customHeight="1">
      <c r="B691" s="102"/>
      <c r="C691" s="102"/>
      <c r="E691" s="123"/>
      <c r="F691" s="100"/>
    </row>
    <row r="692" spans="2:6" ht="13.5" customHeight="1">
      <c r="B692" s="102"/>
      <c r="C692" s="102"/>
      <c r="E692" s="123"/>
      <c r="F692" s="100"/>
    </row>
    <row r="693" spans="2:6" ht="13.5" customHeight="1">
      <c r="B693" s="102"/>
      <c r="C693" s="102"/>
      <c r="E693" s="123"/>
      <c r="F693" s="100"/>
    </row>
    <row r="694" spans="2:6" ht="13.5" customHeight="1">
      <c r="B694" s="102"/>
      <c r="C694" s="102"/>
      <c r="E694" s="123"/>
      <c r="F694" s="100"/>
    </row>
    <row r="695" spans="2:6" ht="13.5" customHeight="1">
      <c r="B695" s="102"/>
      <c r="C695" s="102"/>
      <c r="E695" s="123"/>
      <c r="F695" s="100"/>
    </row>
    <row r="696" spans="2:6" ht="13.5" customHeight="1">
      <c r="B696" s="102"/>
      <c r="C696" s="102"/>
      <c r="E696" s="123"/>
      <c r="F696" s="100"/>
    </row>
    <row r="697" spans="2:6" ht="13.5" customHeight="1">
      <c r="B697" s="102"/>
      <c r="C697" s="102"/>
      <c r="E697" s="123"/>
      <c r="F697" s="100"/>
    </row>
    <row r="698" spans="2:6" ht="13.5" customHeight="1">
      <c r="B698" s="102"/>
      <c r="C698" s="102"/>
      <c r="E698" s="123"/>
      <c r="F698" s="100"/>
    </row>
    <row r="699" spans="2:6" ht="13.5" customHeight="1">
      <c r="B699" s="102"/>
      <c r="C699" s="102"/>
      <c r="E699" s="123"/>
      <c r="F699" s="100"/>
    </row>
    <row r="700" spans="2:6" ht="13.5" customHeight="1">
      <c r="B700" s="102"/>
      <c r="C700" s="102"/>
      <c r="E700" s="123"/>
      <c r="F700" s="100"/>
    </row>
    <row r="701" spans="2:6" ht="13.5" customHeight="1">
      <c r="B701" s="102"/>
      <c r="C701" s="102"/>
      <c r="E701" s="123"/>
      <c r="F701" s="100"/>
    </row>
    <row r="702" spans="2:6" ht="13.5" customHeight="1">
      <c r="B702" s="102"/>
      <c r="C702" s="102"/>
      <c r="E702" s="123"/>
      <c r="F702" s="100"/>
    </row>
    <row r="703" spans="2:6" ht="13.5" customHeight="1">
      <c r="B703" s="102"/>
      <c r="C703" s="102"/>
      <c r="E703" s="123"/>
      <c r="F703" s="100"/>
    </row>
    <row r="704" spans="2:6" ht="13.5" customHeight="1">
      <c r="B704" s="102"/>
      <c r="C704" s="102"/>
      <c r="E704" s="123"/>
      <c r="F704" s="100"/>
    </row>
    <row r="705" spans="2:6" ht="13.5" customHeight="1">
      <c r="B705" s="102"/>
      <c r="C705" s="102"/>
      <c r="E705" s="123"/>
      <c r="F705" s="100"/>
    </row>
    <row r="706" spans="2:6" ht="13.5" customHeight="1">
      <c r="B706" s="102"/>
      <c r="C706" s="102"/>
      <c r="E706" s="123"/>
      <c r="F706" s="100"/>
    </row>
    <row r="707" spans="2:6" ht="13.5" customHeight="1">
      <c r="B707" s="102"/>
      <c r="C707" s="102"/>
      <c r="E707" s="123"/>
      <c r="F707" s="100"/>
    </row>
    <row r="708" spans="2:6" ht="13.5" customHeight="1">
      <c r="B708" s="102"/>
      <c r="C708" s="102"/>
      <c r="E708" s="123"/>
      <c r="F708" s="100"/>
    </row>
    <row r="709" spans="2:6" ht="13.5" customHeight="1">
      <c r="B709" s="102"/>
      <c r="C709" s="102"/>
      <c r="E709" s="123"/>
      <c r="F709" s="100"/>
    </row>
    <row r="710" spans="2:6" ht="13.5" customHeight="1">
      <c r="B710" s="102"/>
      <c r="C710" s="102"/>
      <c r="E710" s="123"/>
      <c r="F710" s="100"/>
    </row>
    <row r="711" spans="2:6" ht="13.5" customHeight="1">
      <c r="B711" s="102"/>
      <c r="C711" s="102"/>
      <c r="E711" s="123"/>
      <c r="F711" s="100"/>
    </row>
    <row r="712" spans="2:6" ht="13.5" customHeight="1">
      <c r="B712" s="102"/>
      <c r="C712" s="102"/>
      <c r="E712" s="123"/>
      <c r="F712" s="100"/>
    </row>
    <row r="713" spans="2:6" ht="13.5" customHeight="1">
      <c r="B713" s="102"/>
      <c r="C713" s="102"/>
      <c r="E713" s="123"/>
      <c r="F713" s="100"/>
    </row>
    <row r="714" spans="2:6" ht="13.5" customHeight="1">
      <c r="B714" s="102"/>
      <c r="C714" s="102"/>
      <c r="E714" s="123"/>
      <c r="F714" s="100"/>
    </row>
    <row r="715" spans="2:6" ht="13.5" customHeight="1">
      <c r="B715" s="102"/>
      <c r="C715" s="102"/>
      <c r="E715" s="123"/>
      <c r="F715" s="100"/>
    </row>
    <row r="716" spans="2:6" ht="13.5" customHeight="1">
      <c r="B716" s="102"/>
      <c r="C716" s="102"/>
      <c r="E716" s="123"/>
      <c r="F716" s="100"/>
    </row>
    <row r="717" spans="2:6" ht="13.5" customHeight="1">
      <c r="B717" s="102"/>
      <c r="C717" s="102"/>
      <c r="E717" s="123"/>
      <c r="F717" s="100"/>
    </row>
    <row r="718" spans="2:6" ht="13.5" customHeight="1">
      <c r="B718" s="102"/>
      <c r="C718" s="102"/>
      <c r="E718" s="123"/>
      <c r="F718" s="100"/>
    </row>
    <row r="719" spans="2:6" ht="13.5" customHeight="1">
      <c r="B719" s="102"/>
      <c r="C719" s="102"/>
      <c r="E719" s="123"/>
      <c r="F719" s="100"/>
    </row>
    <row r="720" spans="2:6" ht="13.5" customHeight="1">
      <c r="B720" s="102"/>
      <c r="C720" s="102"/>
      <c r="E720" s="123"/>
      <c r="F720" s="100"/>
    </row>
    <row r="721" spans="2:6" ht="13.5" customHeight="1">
      <c r="B721" s="102"/>
      <c r="C721" s="102"/>
      <c r="E721" s="123"/>
      <c r="F721" s="100"/>
    </row>
    <row r="722" spans="2:6" ht="13.5" customHeight="1">
      <c r="B722" s="102"/>
      <c r="C722" s="102"/>
      <c r="E722" s="123"/>
      <c r="F722" s="100"/>
    </row>
    <row r="723" spans="2:6" ht="13.5" customHeight="1">
      <c r="B723" s="102"/>
      <c r="C723" s="102"/>
      <c r="E723" s="123"/>
      <c r="F723" s="100"/>
    </row>
    <row r="724" spans="2:6" ht="13.5" customHeight="1">
      <c r="B724" s="102"/>
      <c r="C724" s="102"/>
      <c r="E724" s="123"/>
      <c r="F724" s="100"/>
    </row>
    <row r="725" spans="2:6" ht="13.5" customHeight="1">
      <c r="B725" s="102"/>
      <c r="C725" s="102"/>
      <c r="E725" s="123"/>
      <c r="F725" s="100"/>
    </row>
    <row r="726" spans="2:6" ht="13.5" customHeight="1">
      <c r="B726" s="102"/>
      <c r="C726" s="102"/>
      <c r="E726" s="123"/>
      <c r="F726" s="100"/>
    </row>
    <row r="727" spans="2:6" ht="13.5" customHeight="1">
      <c r="B727" s="102"/>
      <c r="C727" s="102"/>
      <c r="E727" s="123"/>
      <c r="F727" s="100"/>
    </row>
    <row r="728" spans="2:6" ht="13.5" customHeight="1">
      <c r="B728" s="102"/>
      <c r="C728" s="102"/>
      <c r="E728" s="123"/>
      <c r="F728" s="100"/>
    </row>
    <row r="729" spans="2:6" ht="13.5" customHeight="1">
      <c r="B729" s="102"/>
      <c r="C729" s="102"/>
      <c r="E729" s="123"/>
      <c r="F729" s="100"/>
    </row>
    <row r="730" spans="2:6" ht="13.5" customHeight="1">
      <c r="B730" s="102"/>
      <c r="C730" s="102"/>
      <c r="E730" s="123"/>
      <c r="F730" s="100"/>
    </row>
    <row r="731" spans="2:6" ht="13.5" customHeight="1">
      <c r="B731" s="102"/>
      <c r="C731" s="102"/>
      <c r="E731" s="123"/>
      <c r="F731" s="100"/>
    </row>
    <row r="732" spans="2:6" ht="13.5" customHeight="1">
      <c r="B732" s="102"/>
      <c r="C732" s="102"/>
      <c r="E732" s="123"/>
      <c r="F732" s="100"/>
    </row>
    <row r="733" spans="2:6" ht="13.5" customHeight="1">
      <c r="B733" s="102"/>
      <c r="C733" s="102"/>
      <c r="E733" s="123"/>
      <c r="F733" s="100"/>
    </row>
    <row r="734" spans="2:6" ht="13.5" customHeight="1">
      <c r="B734" s="102"/>
      <c r="C734" s="102"/>
      <c r="E734" s="123"/>
      <c r="F734" s="100"/>
    </row>
    <row r="735" spans="2:6" ht="13.5" customHeight="1">
      <c r="B735" s="102"/>
      <c r="C735" s="102"/>
      <c r="E735" s="123"/>
      <c r="F735" s="100"/>
    </row>
    <row r="736" spans="2:6" ht="13.5" customHeight="1">
      <c r="B736" s="102"/>
      <c r="C736" s="102"/>
      <c r="E736" s="123"/>
      <c r="F736" s="100"/>
    </row>
    <row r="737" spans="2:6" ht="13.5" customHeight="1">
      <c r="B737" s="102"/>
      <c r="C737" s="102"/>
      <c r="E737" s="123"/>
      <c r="F737" s="100"/>
    </row>
    <row r="738" spans="2:6" ht="13.5" customHeight="1">
      <c r="B738" s="102"/>
      <c r="C738" s="102"/>
      <c r="E738" s="123"/>
      <c r="F738" s="100"/>
    </row>
    <row r="739" spans="2:6" ht="13.5" customHeight="1">
      <c r="B739" s="102"/>
      <c r="C739" s="102"/>
      <c r="E739" s="123"/>
      <c r="F739" s="100"/>
    </row>
    <row r="740" spans="2:6" ht="13.5" customHeight="1">
      <c r="B740" s="102"/>
      <c r="C740" s="102"/>
      <c r="E740" s="123"/>
      <c r="F740" s="100"/>
    </row>
    <row r="741" spans="2:6" ht="13.5" customHeight="1">
      <c r="B741" s="102"/>
      <c r="C741" s="102"/>
      <c r="E741" s="123"/>
      <c r="F741" s="100"/>
    </row>
    <row r="742" spans="2:6" ht="13.5" customHeight="1">
      <c r="B742" s="102"/>
      <c r="C742" s="102"/>
      <c r="E742" s="123"/>
      <c r="F742" s="100"/>
    </row>
    <row r="743" spans="2:6" ht="13.5" customHeight="1">
      <c r="B743" s="102"/>
      <c r="C743" s="102"/>
      <c r="E743" s="123"/>
      <c r="F743" s="100"/>
    </row>
    <row r="744" spans="2:6" ht="13.5" customHeight="1">
      <c r="B744" s="102"/>
      <c r="C744" s="102"/>
      <c r="E744" s="123"/>
      <c r="F744" s="100"/>
    </row>
    <row r="745" spans="2:6" ht="13.5" customHeight="1">
      <c r="B745" s="102"/>
      <c r="C745" s="102"/>
      <c r="E745" s="123"/>
      <c r="F745" s="100"/>
    </row>
    <row r="746" spans="2:6" ht="13.5" customHeight="1">
      <c r="B746" s="102"/>
      <c r="C746" s="102"/>
      <c r="E746" s="123"/>
      <c r="F746" s="100"/>
    </row>
    <row r="747" spans="2:6" ht="13.5" customHeight="1">
      <c r="B747" s="102"/>
      <c r="C747" s="102"/>
      <c r="E747" s="123"/>
      <c r="F747" s="100"/>
    </row>
    <row r="748" spans="2:6" ht="13.5" customHeight="1">
      <c r="B748" s="102"/>
      <c r="C748" s="102"/>
      <c r="E748" s="123"/>
      <c r="F748" s="100"/>
    </row>
    <row r="749" spans="2:6" ht="13.5" customHeight="1">
      <c r="B749" s="102"/>
      <c r="C749" s="102"/>
      <c r="E749" s="123"/>
      <c r="F749" s="100"/>
    </row>
    <row r="750" spans="2:6" ht="13.5" customHeight="1">
      <c r="B750" s="102"/>
      <c r="C750" s="102"/>
      <c r="E750" s="123"/>
      <c r="F750" s="100"/>
    </row>
    <row r="751" spans="2:6" ht="13.5" customHeight="1">
      <c r="B751" s="102"/>
      <c r="C751" s="102"/>
      <c r="E751" s="123"/>
      <c r="F751" s="100"/>
    </row>
    <row r="752" spans="2:6" ht="13.5" customHeight="1">
      <c r="B752" s="102"/>
      <c r="C752" s="102"/>
      <c r="E752" s="123"/>
      <c r="F752" s="100"/>
    </row>
    <row r="753" spans="2:6" ht="13.5" customHeight="1">
      <c r="B753" s="102"/>
      <c r="C753" s="102"/>
      <c r="E753" s="123"/>
      <c r="F753" s="100"/>
    </row>
    <row r="754" spans="2:6" ht="13.5" customHeight="1">
      <c r="B754" s="102"/>
      <c r="C754" s="102"/>
      <c r="E754" s="123"/>
      <c r="F754" s="100"/>
    </row>
    <row r="755" spans="2:6" ht="13.5" customHeight="1">
      <c r="B755" s="102"/>
      <c r="C755" s="102"/>
      <c r="E755" s="123"/>
      <c r="F755" s="100"/>
    </row>
    <row r="756" spans="2:6" ht="13.5" customHeight="1">
      <c r="B756" s="102"/>
      <c r="C756" s="102"/>
      <c r="E756" s="123"/>
      <c r="F756" s="100"/>
    </row>
    <row r="757" spans="2:6" ht="13.5" customHeight="1">
      <c r="B757" s="102"/>
      <c r="C757" s="102"/>
      <c r="E757" s="123"/>
      <c r="F757" s="100"/>
    </row>
    <row r="758" spans="2:6" ht="13.5" customHeight="1">
      <c r="B758" s="102"/>
      <c r="C758" s="102"/>
      <c r="E758" s="123"/>
      <c r="F758" s="100"/>
    </row>
    <row r="759" spans="2:6" ht="13.5" customHeight="1">
      <c r="B759" s="102"/>
      <c r="C759" s="102"/>
      <c r="E759" s="123"/>
      <c r="F759" s="100"/>
    </row>
    <row r="760" spans="2:6" ht="13.5" customHeight="1">
      <c r="B760" s="102"/>
      <c r="C760" s="102"/>
      <c r="E760" s="123"/>
      <c r="F760" s="100"/>
    </row>
    <row r="761" spans="2:6" ht="13.5" customHeight="1">
      <c r="B761" s="102"/>
      <c r="C761" s="102"/>
      <c r="E761" s="123"/>
      <c r="F761" s="100"/>
    </row>
    <row r="762" spans="2:6" ht="13.5" customHeight="1">
      <c r="B762" s="102"/>
      <c r="C762" s="102"/>
      <c r="E762" s="123"/>
      <c r="F762" s="100"/>
    </row>
    <row r="763" spans="2:6" ht="13.5" customHeight="1">
      <c r="B763" s="102"/>
      <c r="C763" s="102"/>
      <c r="E763" s="123"/>
      <c r="F763" s="100"/>
    </row>
    <row r="764" spans="2:6" ht="13.5" customHeight="1">
      <c r="B764" s="102"/>
      <c r="C764" s="102"/>
      <c r="E764" s="123"/>
      <c r="F764" s="100"/>
    </row>
    <row r="765" spans="2:6" ht="13.5" customHeight="1">
      <c r="B765" s="102"/>
      <c r="C765" s="102"/>
      <c r="E765" s="123"/>
      <c r="F765" s="100"/>
    </row>
    <row r="766" spans="2:6" ht="13.5" customHeight="1">
      <c r="B766" s="102"/>
      <c r="C766" s="102"/>
      <c r="E766" s="123"/>
      <c r="F766" s="100"/>
    </row>
    <row r="767" spans="2:6" ht="13.5" customHeight="1">
      <c r="B767" s="102"/>
      <c r="C767" s="102"/>
      <c r="E767" s="123"/>
      <c r="F767" s="100"/>
    </row>
    <row r="768" spans="2:6" ht="13.5" customHeight="1">
      <c r="B768" s="102"/>
      <c r="C768" s="102"/>
      <c r="E768" s="123"/>
      <c r="F768" s="100"/>
    </row>
    <row r="769" spans="2:6" ht="13.5" customHeight="1">
      <c r="B769" s="102"/>
      <c r="C769" s="102"/>
      <c r="E769" s="123"/>
      <c r="F769" s="100"/>
    </row>
    <row r="770" spans="2:6" ht="13.5" customHeight="1">
      <c r="B770" s="102"/>
      <c r="C770" s="102"/>
      <c r="E770" s="123"/>
      <c r="F770" s="100"/>
    </row>
    <row r="771" spans="2:6" ht="13.5" customHeight="1">
      <c r="B771" s="102"/>
      <c r="C771" s="102"/>
      <c r="E771" s="123"/>
      <c r="F771" s="100"/>
    </row>
    <row r="772" spans="2:6" ht="13.5" customHeight="1">
      <c r="B772" s="102"/>
      <c r="C772" s="102"/>
      <c r="E772" s="123"/>
      <c r="F772" s="100"/>
    </row>
    <row r="773" spans="2:6" ht="13.5" customHeight="1">
      <c r="B773" s="102"/>
      <c r="C773" s="102"/>
      <c r="E773" s="123"/>
      <c r="F773" s="100"/>
    </row>
    <row r="774" spans="2:6" ht="13.5" customHeight="1">
      <c r="B774" s="102"/>
      <c r="C774" s="102"/>
      <c r="E774" s="123"/>
      <c r="F774" s="100"/>
    </row>
    <row r="775" spans="2:6" ht="13.5" customHeight="1">
      <c r="B775" s="102"/>
      <c r="C775" s="102"/>
      <c r="E775" s="123"/>
      <c r="F775" s="100"/>
    </row>
    <row r="776" spans="2:6" ht="13.5" customHeight="1">
      <c r="B776" s="102"/>
      <c r="C776" s="102"/>
      <c r="E776" s="123"/>
      <c r="F776" s="100"/>
    </row>
    <row r="777" spans="2:6" ht="13.5" customHeight="1">
      <c r="B777" s="102"/>
      <c r="C777" s="102"/>
      <c r="E777" s="123"/>
      <c r="F777" s="100"/>
    </row>
    <row r="778" spans="2:6" ht="13.5" customHeight="1">
      <c r="B778" s="102"/>
      <c r="C778" s="102"/>
      <c r="E778" s="123"/>
      <c r="F778" s="100"/>
    </row>
    <row r="779" spans="2:6" ht="13.5" customHeight="1">
      <c r="B779" s="102"/>
      <c r="C779" s="102"/>
      <c r="E779" s="123"/>
      <c r="F779" s="100"/>
    </row>
    <row r="780" spans="2:6" ht="13.5" customHeight="1">
      <c r="B780" s="102"/>
      <c r="C780" s="102"/>
      <c r="E780" s="123"/>
      <c r="F780" s="100"/>
    </row>
    <row r="781" spans="2:6" ht="13.5" customHeight="1">
      <c r="B781" s="102"/>
      <c r="C781" s="102"/>
      <c r="E781" s="123"/>
      <c r="F781" s="100"/>
    </row>
    <row r="782" spans="2:6" ht="13.5" customHeight="1">
      <c r="B782" s="102"/>
      <c r="C782" s="102"/>
      <c r="E782" s="123"/>
      <c r="F782" s="100"/>
    </row>
    <row r="783" spans="2:6" ht="13.5" customHeight="1">
      <c r="B783" s="102"/>
      <c r="C783" s="102"/>
      <c r="E783" s="123"/>
      <c r="F783" s="100"/>
    </row>
    <row r="784" spans="2:6" ht="13.5" customHeight="1">
      <c r="B784" s="102"/>
      <c r="C784" s="102"/>
      <c r="E784" s="123"/>
      <c r="F784" s="100"/>
    </row>
    <row r="785" spans="2:6" ht="13.5" customHeight="1">
      <c r="B785" s="102"/>
      <c r="C785" s="102"/>
      <c r="E785" s="123"/>
      <c r="F785" s="100"/>
    </row>
    <row r="786" spans="2:6" ht="13.5" customHeight="1">
      <c r="B786" s="102"/>
      <c r="C786" s="102"/>
      <c r="E786" s="123"/>
      <c r="F786" s="100"/>
    </row>
    <row r="787" spans="2:6" ht="13.5" customHeight="1">
      <c r="B787" s="102"/>
      <c r="C787" s="102"/>
      <c r="E787" s="123"/>
      <c r="F787" s="100"/>
    </row>
    <row r="788" spans="2:6" ht="13.5" customHeight="1">
      <c r="B788" s="102"/>
      <c r="C788" s="102"/>
      <c r="E788" s="123"/>
      <c r="F788" s="100"/>
    </row>
    <row r="789" spans="2:6" ht="13.5" customHeight="1">
      <c r="B789" s="102"/>
      <c r="C789" s="102"/>
      <c r="E789" s="123"/>
      <c r="F789" s="100"/>
    </row>
    <row r="790" spans="2:6" ht="13.5" customHeight="1">
      <c r="B790" s="102"/>
      <c r="C790" s="102"/>
      <c r="E790" s="123"/>
      <c r="F790" s="100"/>
    </row>
    <row r="791" spans="2:6" ht="13.5" customHeight="1">
      <c r="B791" s="102"/>
      <c r="C791" s="102"/>
      <c r="E791" s="123"/>
      <c r="F791" s="100"/>
    </row>
    <row r="792" spans="2:6" ht="13.5" customHeight="1">
      <c r="B792" s="102"/>
      <c r="C792" s="102"/>
      <c r="E792" s="123"/>
      <c r="F792" s="100"/>
    </row>
    <row r="793" spans="2:6" ht="13.5" customHeight="1">
      <c r="B793" s="102"/>
      <c r="C793" s="102"/>
      <c r="E793" s="123"/>
      <c r="F793" s="100"/>
    </row>
    <row r="794" spans="2:6" ht="13.5" customHeight="1">
      <c r="B794" s="102"/>
      <c r="C794" s="102"/>
      <c r="E794" s="123"/>
      <c r="F794" s="100"/>
    </row>
    <row r="795" spans="2:6" ht="13.5" customHeight="1">
      <c r="B795" s="102"/>
      <c r="C795" s="102"/>
      <c r="E795" s="123"/>
      <c r="F795" s="100"/>
    </row>
    <row r="796" spans="2:6" ht="13.5" customHeight="1">
      <c r="B796" s="102"/>
      <c r="C796" s="102"/>
      <c r="E796" s="123"/>
      <c r="F796" s="100"/>
    </row>
    <row r="797" spans="2:6" ht="13.5" customHeight="1">
      <c r="B797" s="102"/>
      <c r="C797" s="102"/>
      <c r="E797" s="123"/>
      <c r="F797" s="100"/>
    </row>
    <row r="798" spans="2:6" ht="13.5" customHeight="1">
      <c r="B798" s="102"/>
      <c r="C798" s="102"/>
      <c r="E798" s="123"/>
      <c r="F798" s="100"/>
    </row>
    <row r="799" spans="2:6" ht="13.5" customHeight="1">
      <c r="B799" s="102"/>
      <c r="C799" s="102"/>
      <c r="E799" s="123"/>
      <c r="F799" s="100"/>
    </row>
    <row r="800" spans="2:6" ht="13.5" customHeight="1">
      <c r="B800" s="102"/>
      <c r="C800" s="102"/>
      <c r="E800" s="123"/>
      <c r="F800" s="100"/>
    </row>
    <row r="801" spans="2:6" ht="13.5" customHeight="1">
      <c r="B801" s="102"/>
      <c r="C801" s="102"/>
      <c r="E801" s="123"/>
      <c r="F801" s="100"/>
    </row>
    <row r="802" spans="2:6" ht="13.5" customHeight="1">
      <c r="B802" s="102"/>
      <c r="C802" s="102"/>
      <c r="E802" s="123"/>
      <c r="F802" s="100"/>
    </row>
    <row r="803" spans="2:6" ht="13.5" customHeight="1">
      <c r="B803" s="102"/>
      <c r="C803" s="102"/>
      <c r="E803" s="123"/>
      <c r="F803" s="100"/>
    </row>
    <row r="804" spans="2:6" ht="13.5" customHeight="1">
      <c r="B804" s="102"/>
      <c r="C804" s="102"/>
      <c r="E804" s="123"/>
      <c r="F804" s="100"/>
    </row>
    <row r="805" spans="2:6" ht="13.5" customHeight="1">
      <c r="B805" s="102"/>
      <c r="C805" s="102"/>
      <c r="E805" s="123"/>
      <c r="F805" s="100"/>
    </row>
    <row r="806" spans="2:6" ht="13.5" customHeight="1">
      <c r="B806" s="102"/>
      <c r="C806" s="102"/>
      <c r="E806" s="123"/>
      <c r="F806" s="100"/>
    </row>
    <row r="807" spans="2:6" ht="13.5" customHeight="1">
      <c r="B807" s="102"/>
      <c r="C807" s="102"/>
      <c r="E807" s="123"/>
      <c r="F807" s="100"/>
    </row>
    <row r="808" spans="2:6" ht="13.5" customHeight="1">
      <c r="B808" s="102"/>
      <c r="C808" s="102"/>
      <c r="E808" s="123"/>
      <c r="F808" s="100"/>
    </row>
    <row r="809" spans="2:6" ht="13.5" customHeight="1">
      <c r="B809" s="102"/>
      <c r="C809" s="102"/>
      <c r="E809" s="123"/>
      <c r="F809" s="100"/>
    </row>
    <row r="810" spans="2:6" ht="13.5" customHeight="1">
      <c r="B810" s="102"/>
      <c r="C810" s="102"/>
      <c r="E810" s="123"/>
      <c r="F810" s="100"/>
    </row>
    <row r="811" spans="2:6" ht="13.5" customHeight="1">
      <c r="B811" s="102"/>
      <c r="C811" s="102"/>
      <c r="E811" s="123"/>
      <c r="F811" s="100"/>
    </row>
    <row r="812" spans="2:6" ht="13.5" customHeight="1">
      <c r="B812" s="102"/>
      <c r="C812" s="102"/>
      <c r="E812" s="123"/>
      <c r="F812" s="100"/>
    </row>
    <row r="813" spans="2:6" ht="13.5" customHeight="1">
      <c r="B813" s="102"/>
      <c r="C813" s="102"/>
      <c r="E813" s="123"/>
      <c r="F813" s="100"/>
    </row>
    <row r="814" spans="2:6" ht="13.5" customHeight="1">
      <c r="B814" s="102"/>
      <c r="C814" s="102"/>
      <c r="E814" s="123"/>
      <c r="F814" s="100"/>
    </row>
    <row r="815" spans="2:6" ht="13.5" customHeight="1">
      <c r="B815" s="102"/>
      <c r="C815" s="102"/>
      <c r="E815" s="123"/>
      <c r="F815" s="100"/>
    </row>
    <row r="816" spans="2:6" ht="13.5" customHeight="1">
      <c r="B816" s="102"/>
      <c r="C816" s="102"/>
      <c r="E816" s="123"/>
      <c r="F816" s="100"/>
    </row>
    <row r="817" spans="2:6" ht="13.5" customHeight="1">
      <c r="B817" s="102"/>
      <c r="C817" s="102"/>
      <c r="E817" s="123"/>
      <c r="F817" s="100"/>
    </row>
    <row r="818" spans="2:6" ht="13.5" customHeight="1">
      <c r="B818" s="102"/>
      <c r="C818" s="102"/>
      <c r="E818" s="123"/>
      <c r="F818" s="100"/>
    </row>
    <row r="819" spans="2:6" ht="13.5" customHeight="1">
      <c r="B819" s="102"/>
      <c r="C819" s="102"/>
      <c r="E819" s="123"/>
      <c r="F819" s="100"/>
    </row>
    <row r="820" spans="2:6" ht="13.5" customHeight="1">
      <c r="B820" s="102"/>
      <c r="C820" s="102"/>
      <c r="E820" s="123"/>
      <c r="F820" s="100"/>
    </row>
    <row r="821" spans="2:6" ht="13.5" customHeight="1">
      <c r="B821" s="102"/>
      <c r="C821" s="102"/>
      <c r="E821" s="123"/>
      <c r="F821" s="100"/>
    </row>
    <row r="822" spans="2:6" ht="13.5" customHeight="1">
      <c r="B822" s="102"/>
      <c r="C822" s="102"/>
      <c r="E822" s="123"/>
      <c r="F822" s="100"/>
    </row>
    <row r="823" spans="2:6" ht="13.5" customHeight="1">
      <c r="B823" s="102"/>
      <c r="C823" s="102"/>
      <c r="E823" s="123"/>
      <c r="F823" s="100"/>
    </row>
    <row r="824" spans="2:6" ht="13.5" customHeight="1">
      <c r="B824" s="102"/>
      <c r="C824" s="102"/>
      <c r="E824" s="123"/>
      <c r="F824" s="100"/>
    </row>
    <row r="825" spans="2:6" ht="13.5" customHeight="1">
      <c r="B825" s="102"/>
      <c r="C825" s="102"/>
      <c r="E825" s="123"/>
      <c r="F825" s="100"/>
    </row>
    <row r="826" spans="2:6" ht="13.5" customHeight="1">
      <c r="B826" s="102"/>
      <c r="C826" s="102"/>
      <c r="E826" s="123"/>
      <c r="F826" s="100"/>
    </row>
    <row r="827" spans="2:6" ht="13.5" customHeight="1">
      <c r="B827" s="102"/>
      <c r="C827" s="102"/>
      <c r="E827" s="123"/>
      <c r="F827" s="100"/>
    </row>
    <row r="828" spans="2:6" ht="13.5" customHeight="1">
      <c r="B828" s="102"/>
      <c r="C828" s="102"/>
      <c r="E828" s="123"/>
      <c r="F828" s="100"/>
    </row>
    <row r="829" spans="2:6" ht="13.5" customHeight="1">
      <c r="B829" s="102"/>
      <c r="C829" s="102"/>
      <c r="E829" s="123"/>
      <c r="F829" s="100"/>
    </row>
    <row r="830" spans="2:6" ht="13.5" customHeight="1">
      <c r="B830" s="102"/>
      <c r="C830" s="102"/>
      <c r="E830" s="123"/>
      <c r="F830" s="100"/>
    </row>
    <row r="831" spans="2:6" ht="13.5" customHeight="1">
      <c r="B831" s="102"/>
      <c r="C831" s="102"/>
      <c r="E831" s="123"/>
      <c r="F831" s="100"/>
    </row>
    <row r="832" spans="2:6" ht="13.5" customHeight="1">
      <c r="B832" s="102"/>
      <c r="C832" s="102"/>
      <c r="E832" s="123"/>
      <c r="F832" s="100"/>
    </row>
    <row r="833" spans="2:6" ht="13.5" customHeight="1">
      <c r="B833" s="102"/>
      <c r="C833" s="102"/>
      <c r="E833" s="123"/>
      <c r="F833" s="100"/>
    </row>
    <row r="834" spans="2:6" ht="13.5" customHeight="1">
      <c r="B834" s="102"/>
      <c r="C834" s="102"/>
      <c r="E834" s="123"/>
      <c r="F834" s="100"/>
    </row>
    <row r="835" spans="2:6" ht="13.5" customHeight="1">
      <c r="B835" s="102"/>
      <c r="C835" s="102"/>
      <c r="E835" s="123"/>
      <c r="F835" s="100"/>
    </row>
    <row r="836" spans="2:6" ht="13.5" customHeight="1">
      <c r="B836" s="102"/>
      <c r="C836" s="102"/>
      <c r="E836" s="123"/>
      <c r="F836" s="100"/>
    </row>
    <row r="837" spans="2:6" ht="13.5" customHeight="1">
      <c r="B837" s="102"/>
      <c r="C837" s="102"/>
      <c r="E837" s="123"/>
      <c r="F837" s="100"/>
    </row>
    <row r="838" spans="2:6" ht="13.5" customHeight="1">
      <c r="B838" s="102"/>
      <c r="C838" s="102"/>
      <c r="E838" s="123"/>
      <c r="F838" s="100"/>
    </row>
    <row r="839" spans="2:6" ht="13.5" customHeight="1">
      <c r="B839" s="102"/>
      <c r="C839" s="102"/>
      <c r="E839" s="123"/>
      <c r="F839" s="100"/>
    </row>
    <row r="840" spans="2:6" ht="13.5" customHeight="1">
      <c r="B840" s="102"/>
      <c r="C840" s="102"/>
      <c r="E840" s="123"/>
      <c r="F840" s="100"/>
    </row>
    <row r="841" spans="2:6" ht="13.5" customHeight="1">
      <c r="B841" s="102"/>
      <c r="C841" s="102"/>
      <c r="E841" s="123"/>
      <c r="F841" s="100"/>
    </row>
    <row r="842" spans="2:6" ht="13.5" customHeight="1">
      <c r="B842" s="102"/>
      <c r="C842" s="102"/>
      <c r="E842" s="123"/>
      <c r="F842" s="100"/>
    </row>
    <row r="843" spans="2:6" ht="13.5" customHeight="1">
      <c r="B843" s="102"/>
      <c r="C843" s="102"/>
      <c r="E843" s="123"/>
      <c r="F843" s="100"/>
    </row>
    <row r="844" spans="2:6" ht="13.5" customHeight="1">
      <c r="B844" s="102"/>
      <c r="C844" s="102"/>
      <c r="E844" s="123"/>
      <c r="F844" s="100"/>
    </row>
    <row r="845" spans="2:6" ht="13.5" customHeight="1">
      <c r="B845" s="102"/>
      <c r="C845" s="102"/>
      <c r="E845" s="123"/>
      <c r="F845" s="100"/>
    </row>
    <row r="846" spans="2:6" ht="13.5" customHeight="1">
      <c r="B846" s="102"/>
      <c r="C846" s="102"/>
      <c r="E846" s="123"/>
      <c r="F846" s="100"/>
    </row>
    <row r="847" spans="2:6" ht="13.5" customHeight="1">
      <c r="B847" s="102"/>
      <c r="C847" s="102"/>
      <c r="E847" s="123"/>
      <c r="F847" s="100"/>
    </row>
    <row r="848" spans="2:6" ht="13.5" customHeight="1">
      <c r="B848" s="102"/>
      <c r="C848" s="102"/>
      <c r="E848" s="123"/>
      <c r="F848" s="100"/>
    </row>
    <row r="849" spans="2:6" ht="13.5" customHeight="1">
      <c r="B849" s="102"/>
      <c r="C849" s="102"/>
      <c r="E849" s="123"/>
      <c r="F849" s="100"/>
    </row>
    <row r="850" spans="2:6" ht="13.5" customHeight="1">
      <c r="B850" s="102"/>
      <c r="C850" s="102"/>
      <c r="E850" s="123"/>
      <c r="F850" s="100"/>
    </row>
    <row r="851" spans="2:6" ht="13.5" customHeight="1">
      <c r="B851" s="102"/>
      <c r="C851" s="102"/>
      <c r="E851" s="123"/>
      <c r="F851" s="100"/>
    </row>
    <row r="852" spans="2:6" ht="13.5" customHeight="1">
      <c r="B852" s="102"/>
      <c r="C852" s="102"/>
      <c r="E852" s="123"/>
      <c r="F852" s="100"/>
    </row>
    <row r="853" spans="2:6" ht="13.5" customHeight="1">
      <c r="B853" s="102"/>
      <c r="C853" s="102"/>
      <c r="E853" s="123"/>
      <c r="F853" s="100"/>
    </row>
    <row r="854" spans="2:6" ht="13.5" customHeight="1">
      <c r="B854" s="102"/>
      <c r="C854" s="102"/>
      <c r="E854" s="123"/>
      <c r="F854" s="100"/>
    </row>
    <row r="855" spans="2:6" ht="13.5" customHeight="1">
      <c r="B855" s="102"/>
      <c r="C855" s="102"/>
      <c r="E855" s="123"/>
      <c r="F855" s="100"/>
    </row>
    <row r="856" spans="2:6" ht="13.5" customHeight="1">
      <c r="B856" s="102"/>
      <c r="C856" s="102"/>
      <c r="E856" s="123"/>
      <c r="F856" s="100"/>
    </row>
    <row r="857" spans="2:6" ht="13.5" customHeight="1">
      <c r="B857" s="102"/>
      <c r="C857" s="102"/>
      <c r="E857" s="123"/>
      <c r="F857" s="100"/>
    </row>
    <row r="858" spans="2:6" ht="13.5" customHeight="1">
      <c r="B858" s="102"/>
      <c r="C858" s="102"/>
      <c r="E858" s="123"/>
      <c r="F858" s="100"/>
    </row>
    <row r="859" spans="2:6" ht="13.5" customHeight="1">
      <c r="B859" s="102"/>
      <c r="C859" s="102"/>
      <c r="E859" s="123"/>
      <c r="F859" s="100"/>
    </row>
    <row r="860" spans="2:6" ht="13.5" customHeight="1">
      <c r="B860" s="102"/>
      <c r="C860" s="102"/>
      <c r="E860" s="123"/>
      <c r="F860" s="100"/>
    </row>
    <row r="861" spans="2:6" ht="13.5" customHeight="1">
      <c r="B861" s="102"/>
      <c r="C861" s="102"/>
      <c r="E861" s="123"/>
      <c r="F861" s="100"/>
    </row>
    <row r="862" spans="2:6" ht="13.5" customHeight="1">
      <c r="B862" s="102"/>
      <c r="C862" s="102"/>
      <c r="E862" s="123"/>
      <c r="F862" s="100"/>
    </row>
    <row r="863" spans="2:6" ht="13.5" customHeight="1">
      <c r="B863" s="102"/>
      <c r="C863" s="102"/>
      <c r="E863" s="123"/>
      <c r="F863" s="100"/>
    </row>
    <row r="864" spans="2:6" ht="13.5" customHeight="1">
      <c r="B864" s="102"/>
      <c r="C864" s="102"/>
      <c r="E864" s="123"/>
      <c r="F864" s="100"/>
    </row>
    <row r="865" spans="2:6" ht="13.5" customHeight="1">
      <c r="B865" s="102"/>
      <c r="C865" s="102"/>
      <c r="E865" s="123"/>
      <c r="F865" s="100"/>
    </row>
    <row r="866" spans="2:6" ht="13.5" customHeight="1">
      <c r="B866" s="102"/>
      <c r="C866" s="102"/>
      <c r="E866" s="123"/>
      <c r="F866" s="100"/>
    </row>
    <row r="867" spans="2:6" ht="13.5" customHeight="1">
      <c r="B867" s="102"/>
      <c r="C867" s="102"/>
      <c r="E867" s="123"/>
      <c r="F867" s="100"/>
    </row>
    <row r="868" spans="2:6" ht="13.5" customHeight="1">
      <c r="B868" s="102"/>
      <c r="C868" s="102"/>
      <c r="E868" s="123"/>
      <c r="F868" s="100"/>
    </row>
    <row r="869" spans="2:6" ht="13.5" customHeight="1">
      <c r="B869" s="102"/>
      <c r="C869" s="102"/>
      <c r="E869" s="123"/>
      <c r="F869" s="100"/>
    </row>
    <row r="870" spans="2:6" ht="13.5" customHeight="1">
      <c r="B870" s="102"/>
      <c r="C870" s="102"/>
      <c r="E870" s="123"/>
      <c r="F870" s="100"/>
    </row>
    <row r="871" spans="2:6" ht="13.5" customHeight="1">
      <c r="B871" s="102"/>
      <c r="C871" s="102"/>
      <c r="E871" s="123"/>
      <c r="F871" s="100"/>
    </row>
    <row r="872" spans="2:6" ht="13.5" customHeight="1">
      <c r="B872" s="102"/>
      <c r="C872" s="102"/>
      <c r="E872" s="123"/>
      <c r="F872" s="100"/>
    </row>
    <row r="873" spans="2:6" ht="13.5" customHeight="1">
      <c r="B873" s="102"/>
      <c r="C873" s="102"/>
      <c r="E873" s="123"/>
      <c r="F873" s="100"/>
    </row>
    <row r="874" spans="2:6" ht="13.5" customHeight="1">
      <c r="B874" s="102"/>
      <c r="C874" s="102"/>
      <c r="E874" s="123"/>
      <c r="F874" s="100"/>
    </row>
    <row r="875" spans="2:6" ht="13.5" customHeight="1">
      <c r="B875" s="102"/>
      <c r="C875" s="102"/>
      <c r="E875" s="123"/>
      <c r="F875" s="100"/>
    </row>
    <row r="876" spans="2:6" ht="13.5" customHeight="1">
      <c r="B876" s="102"/>
      <c r="C876" s="102"/>
      <c r="E876" s="123"/>
      <c r="F876" s="100"/>
    </row>
    <row r="877" spans="2:6" ht="13.5" customHeight="1">
      <c r="B877" s="102"/>
      <c r="C877" s="102"/>
      <c r="E877" s="123"/>
      <c r="F877" s="100"/>
    </row>
    <row r="878" spans="2:6" ht="13.5" customHeight="1">
      <c r="B878" s="102"/>
      <c r="C878" s="102"/>
      <c r="E878" s="123"/>
      <c r="F878" s="100"/>
    </row>
    <row r="879" spans="2:6" ht="13.5" customHeight="1">
      <c r="B879" s="102"/>
      <c r="C879" s="102"/>
      <c r="E879" s="123"/>
      <c r="F879" s="100"/>
    </row>
    <row r="880" spans="2:6" ht="13.5" customHeight="1">
      <c r="B880" s="102"/>
      <c r="C880" s="102"/>
      <c r="E880" s="123"/>
      <c r="F880" s="100"/>
    </row>
    <row r="881" spans="2:6" ht="13.5" customHeight="1">
      <c r="B881" s="102"/>
      <c r="C881" s="102"/>
      <c r="E881" s="123"/>
      <c r="F881" s="100"/>
    </row>
    <row r="882" spans="2:6" ht="13.5" customHeight="1">
      <c r="B882" s="102"/>
      <c r="C882" s="102"/>
      <c r="E882" s="123"/>
      <c r="F882" s="100"/>
    </row>
    <row r="883" spans="2:6" ht="13.5" customHeight="1">
      <c r="B883" s="102"/>
      <c r="C883" s="102"/>
      <c r="E883" s="123"/>
      <c r="F883" s="100"/>
    </row>
    <row r="884" spans="2:6" ht="13.5" customHeight="1">
      <c r="B884" s="102"/>
      <c r="C884" s="102"/>
      <c r="E884" s="123"/>
      <c r="F884" s="100"/>
    </row>
    <row r="885" spans="2:6" ht="13.5" customHeight="1">
      <c r="B885" s="102"/>
      <c r="C885" s="102"/>
      <c r="E885" s="123"/>
      <c r="F885" s="100"/>
    </row>
    <row r="886" spans="2:6" ht="13.5" customHeight="1">
      <c r="B886" s="102"/>
      <c r="C886" s="102"/>
      <c r="E886" s="123"/>
      <c r="F886" s="100"/>
    </row>
    <row r="887" spans="2:6" ht="13.5" customHeight="1">
      <c r="B887" s="102"/>
      <c r="C887" s="102"/>
      <c r="E887" s="123"/>
      <c r="F887" s="100"/>
    </row>
    <row r="888" spans="2:6" ht="13.5" customHeight="1">
      <c r="B888" s="102"/>
      <c r="C888" s="102"/>
      <c r="E888" s="123"/>
      <c r="F888" s="100"/>
    </row>
    <row r="889" spans="2:6" ht="13.5" customHeight="1">
      <c r="B889" s="102"/>
      <c r="C889" s="102"/>
      <c r="E889" s="123"/>
      <c r="F889" s="100"/>
    </row>
    <row r="890" spans="2:6" ht="13.5" customHeight="1">
      <c r="B890" s="102"/>
      <c r="C890" s="102"/>
      <c r="E890" s="123"/>
      <c r="F890" s="100"/>
    </row>
    <row r="891" spans="2:6" ht="13.5" customHeight="1">
      <c r="B891" s="102"/>
      <c r="C891" s="102"/>
      <c r="E891" s="123"/>
      <c r="F891" s="100"/>
    </row>
    <row r="892" spans="2:6" ht="13.5" customHeight="1">
      <c r="B892" s="102"/>
      <c r="C892" s="102"/>
      <c r="E892" s="123"/>
      <c r="F892" s="100"/>
    </row>
    <row r="893" spans="2:6" ht="13.5" customHeight="1">
      <c r="B893" s="102"/>
      <c r="C893" s="102"/>
      <c r="E893" s="123"/>
      <c r="F893" s="100"/>
    </row>
    <row r="894" spans="2:6" ht="13.5" customHeight="1">
      <c r="B894" s="102"/>
      <c r="C894" s="102"/>
      <c r="E894" s="123"/>
      <c r="F894" s="100"/>
    </row>
    <row r="895" spans="2:6" ht="13.5" customHeight="1">
      <c r="B895" s="102"/>
      <c r="C895" s="102"/>
      <c r="E895" s="123"/>
      <c r="F895" s="100"/>
    </row>
    <row r="896" spans="2:6" ht="13.5" customHeight="1">
      <c r="B896" s="102"/>
      <c r="C896" s="102"/>
      <c r="E896" s="123"/>
      <c r="F896" s="100"/>
    </row>
    <row r="897" spans="2:6" ht="13.5" customHeight="1">
      <c r="B897" s="102"/>
      <c r="C897" s="102"/>
      <c r="E897" s="123"/>
      <c r="F897" s="100"/>
    </row>
    <row r="898" spans="2:6" ht="13.5" customHeight="1">
      <c r="B898" s="102"/>
      <c r="C898" s="102"/>
      <c r="E898" s="123"/>
      <c r="F898" s="100"/>
    </row>
    <row r="899" spans="2:6" ht="13.5" customHeight="1">
      <c r="B899" s="102"/>
      <c r="C899" s="102"/>
      <c r="E899" s="123"/>
      <c r="F899" s="100"/>
    </row>
    <row r="900" spans="2:6" ht="13.5" customHeight="1">
      <c r="B900" s="102"/>
      <c r="C900" s="102"/>
      <c r="E900" s="123"/>
      <c r="F900" s="100"/>
    </row>
    <row r="901" spans="2:6" ht="13.5" customHeight="1">
      <c r="B901" s="102"/>
      <c r="C901" s="102"/>
      <c r="E901" s="123"/>
      <c r="F901" s="100"/>
    </row>
    <row r="902" spans="2:6" ht="13.5" customHeight="1">
      <c r="B902" s="102"/>
      <c r="C902" s="102"/>
      <c r="E902" s="123"/>
      <c r="F902" s="100"/>
    </row>
    <row r="903" spans="2:6" ht="13.5" customHeight="1">
      <c r="B903" s="102"/>
      <c r="C903" s="102"/>
      <c r="E903" s="123"/>
      <c r="F903" s="100"/>
    </row>
    <row r="904" spans="2:6" ht="13.5" customHeight="1">
      <c r="B904" s="102"/>
      <c r="C904" s="102"/>
      <c r="E904" s="123"/>
      <c r="F904" s="100"/>
    </row>
    <row r="905" spans="2:6" ht="13.5" customHeight="1">
      <c r="B905" s="102"/>
      <c r="C905" s="102"/>
      <c r="E905" s="123"/>
      <c r="F905" s="100"/>
    </row>
    <row r="906" spans="2:6" ht="13.5" customHeight="1">
      <c r="B906" s="102"/>
      <c r="C906" s="102"/>
      <c r="E906" s="123"/>
      <c r="F906" s="100"/>
    </row>
    <row r="907" spans="2:6" ht="13.5" customHeight="1">
      <c r="B907" s="102"/>
      <c r="C907" s="102"/>
      <c r="E907" s="123"/>
      <c r="F907" s="100"/>
    </row>
    <row r="908" spans="2:6" ht="13.5" customHeight="1">
      <c r="B908" s="102"/>
      <c r="C908" s="102"/>
      <c r="E908" s="123"/>
      <c r="F908" s="100"/>
    </row>
    <row r="909" spans="2:6" ht="13.5" customHeight="1">
      <c r="B909" s="102"/>
      <c r="C909" s="102"/>
      <c r="E909" s="123"/>
      <c r="F909" s="100"/>
    </row>
    <row r="910" spans="2:6" ht="13.5" customHeight="1">
      <c r="B910" s="102"/>
      <c r="C910" s="102"/>
      <c r="E910" s="123"/>
      <c r="F910" s="100"/>
    </row>
    <row r="911" spans="2:6" ht="13.5" customHeight="1">
      <c r="B911" s="102"/>
      <c r="C911" s="102"/>
      <c r="E911" s="123"/>
      <c r="F911" s="100"/>
    </row>
    <row r="912" spans="2:6" ht="13.5" customHeight="1">
      <c r="B912" s="102"/>
      <c r="C912" s="102"/>
      <c r="E912" s="123"/>
      <c r="F912" s="100"/>
    </row>
    <row r="913" spans="2:6" ht="13.5" customHeight="1">
      <c r="B913" s="102"/>
      <c r="C913" s="102"/>
      <c r="E913" s="123"/>
      <c r="F913" s="100"/>
    </row>
    <row r="914" spans="2:6" ht="13.5" customHeight="1">
      <c r="B914" s="102"/>
      <c r="C914" s="102"/>
      <c r="E914" s="123"/>
      <c r="F914" s="100"/>
    </row>
    <row r="915" spans="2:6" ht="13.5" customHeight="1">
      <c r="B915" s="102"/>
      <c r="C915" s="102"/>
      <c r="E915" s="123"/>
      <c r="F915" s="100"/>
    </row>
    <row r="916" spans="2:6" ht="13.5" customHeight="1">
      <c r="B916" s="102"/>
      <c r="C916" s="102"/>
      <c r="E916" s="123"/>
      <c r="F916" s="100"/>
    </row>
    <row r="917" spans="2:6" ht="13.5" customHeight="1">
      <c r="B917" s="102"/>
      <c r="C917" s="102"/>
      <c r="E917" s="123"/>
      <c r="F917" s="100"/>
    </row>
    <row r="918" spans="2:6" ht="13.5" customHeight="1">
      <c r="B918" s="102"/>
      <c r="C918" s="102"/>
      <c r="E918" s="123"/>
      <c r="F918" s="100"/>
    </row>
    <row r="919" spans="2:6" ht="13.5" customHeight="1">
      <c r="B919" s="102"/>
      <c r="C919" s="102"/>
      <c r="E919" s="123"/>
      <c r="F919" s="100"/>
    </row>
    <row r="920" spans="2:6" ht="13.5" customHeight="1">
      <c r="B920" s="102"/>
      <c r="C920" s="102"/>
      <c r="E920" s="123"/>
      <c r="F920" s="100"/>
    </row>
    <row r="921" spans="2:6" ht="13.5" customHeight="1">
      <c r="B921" s="102"/>
      <c r="C921" s="102"/>
      <c r="E921" s="123"/>
      <c r="F921" s="100"/>
    </row>
    <row r="922" spans="2:6" ht="13.5" customHeight="1">
      <c r="B922" s="102"/>
      <c r="C922" s="102"/>
      <c r="E922" s="123"/>
      <c r="F922" s="100"/>
    </row>
    <row r="923" spans="2:6" ht="13.5" customHeight="1">
      <c r="B923" s="102"/>
      <c r="C923" s="102"/>
      <c r="E923" s="123"/>
      <c r="F923" s="100"/>
    </row>
    <row r="924" spans="2:6" ht="13.5" customHeight="1">
      <c r="B924" s="102"/>
      <c r="C924" s="102"/>
      <c r="E924" s="123"/>
      <c r="F924" s="100"/>
    </row>
    <row r="925" spans="2:6" ht="13.5" customHeight="1">
      <c r="B925" s="102"/>
      <c r="C925" s="102"/>
      <c r="E925" s="123"/>
      <c r="F925" s="100"/>
    </row>
    <row r="926" spans="2:6" ht="13.5" customHeight="1">
      <c r="B926" s="102"/>
      <c r="C926" s="102"/>
      <c r="E926" s="123"/>
      <c r="F926" s="100"/>
    </row>
    <row r="927" spans="2:6" ht="13.5" customHeight="1">
      <c r="B927" s="102"/>
      <c r="C927" s="102"/>
      <c r="E927" s="123"/>
      <c r="F927" s="100"/>
    </row>
    <row r="928" spans="2:6" ht="13.5" customHeight="1">
      <c r="B928" s="102"/>
      <c r="C928" s="102"/>
      <c r="E928" s="123"/>
      <c r="F928" s="100"/>
    </row>
    <row r="929" spans="2:6" ht="13.5" customHeight="1">
      <c r="B929" s="102"/>
      <c r="C929" s="102"/>
      <c r="E929" s="123"/>
      <c r="F929" s="100"/>
    </row>
    <row r="930" spans="2:6" ht="13.5" customHeight="1">
      <c r="B930" s="102"/>
      <c r="C930" s="102"/>
      <c r="E930" s="123"/>
      <c r="F930" s="100"/>
    </row>
    <row r="931" spans="2:6" ht="13.5" customHeight="1">
      <c r="B931" s="102"/>
      <c r="C931" s="102"/>
      <c r="E931" s="123"/>
      <c r="F931" s="100"/>
    </row>
    <row r="932" spans="2:6" ht="13.5" customHeight="1">
      <c r="B932" s="102"/>
      <c r="C932" s="102"/>
      <c r="E932" s="123"/>
      <c r="F932" s="100"/>
    </row>
    <row r="933" spans="2:6" ht="13.5" customHeight="1">
      <c r="B933" s="102"/>
      <c r="C933" s="102"/>
      <c r="E933" s="123"/>
      <c r="F933" s="100"/>
    </row>
    <row r="934" spans="2:6" ht="13.5" customHeight="1">
      <c r="B934" s="102"/>
      <c r="C934" s="102"/>
      <c r="E934" s="123"/>
      <c r="F934" s="100"/>
    </row>
    <row r="935" spans="2:6" ht="13.5" customHeight="1">
      <c r="B935" s="102"/>
      <c r="C935" s="102"/>
      <c r="E935" s="123"/>
      <c r="F935" s="100"/>
    </row>
    <row r="936" spans="2:6" ht="13.5" customHeight="1">
      <c r="B936" s="102"/>
      <c r="C936" s="102"/>
      <c r="E936" s="123"/>
      <c r="F936" s="100"/>
    </row>
    <row r="937" spans="2:6" ht="13.5" customHeight="1">
      <c r="B937" s="102"/>
      <c r="C937" s="102"/>
      <c r="E937" s="123"/>
      <c r="F937" s="100"/>
    </row>
    <row r="938" spans="2:6" ht="13.5" customHeight="1">
      <c r="B938" s="102"/>
      <c r="C938" s="102"/>
      <c r="E938" s="123"/>
      <c r="F938" s="100"/>
    </row>
    <row r="939" spans="2:6" ht="13.5" customHeight="1">
      <c r="B939" s="102"/>
      <c r="C939" s="102"/>
      <c r="E939" s="123"/>
      <c r="F939" s="100"/>
    </row>
    <row r="940" spans="2:6" ht="13.5" customHeight="1">
      <c r="B940" s="102"/>
      <c r="C940" s="102"/>
      <c r="E940" s="123"/>
      <c r="F940" s="100"/>
    </row>
    <row r="941" spans="2:6" ht="13.5" customHeight="1">
      <c r="B941" s="102"/>
      <c r="C941" s="102"/>
      <c r="E941" s="123"/>
      <c r="F941" s="100"/>
    </row>
    <row r="942" spans="2:6" ht="13.5" customHeight="1">
      <c r="B942" s="102"/>
      <c r="C942" s="102"/>
      <c r="E942" s="123"/>
      <c r="F942" s="100"/>
    </row>
    <row r="943" spans="2:6" ht="13.5" customHeight="1">
      <c r="B943" s="102"/>
      <c r="C943" s="102"/>
      <c r="E943" s="123"/>
      <c r="F943" s="100"/>
    </row>
    <row r="944" spans="2:6" ht="13.5" customHeight="1">
      <c r="B944" s="102"/>
      <c r="C944" s="102"/>
      <c r="E944" s="123"/>
      <c r="F944" s="100"/>
    </row>
    <row r="945" spans="2:6" ht="13.5" customHeight="1">
      <c r="B945" s="102"/>
      <c r="C945" s="102"/>
      <c r="E945" s="123"/>
      <c r="F945" s="100"/>
    </row>
    <row r="946" spans="2:6" ht="13.5" customHeight="1">
      <c r="B946" s="102"/>
      <c r="C946" s="102"/>
      <c r="E946" s="123"/>
      <c r="F946" s="100"/>
    </row>
    <row r="947" spans="2:6" ht="13.5" customHeight="1">
      <c r="B947" s="102"/>
      <c r="C947" s="102"/>
      <c r="E947" s="123"/>
      <c r="F947" s="100"/>
    </row>
    <row r="948" spans="2:6" ht="13.5" customHeight="1">
      <c r="B948" s="102"/>
      <c r="C948" s="102"/>
      <c r="E948" s="123"/>
      <c r="F948" s="100"/>
    </row>
    <row r="949" spans="2:6" ht="13.5" customHeight="1">
      <c r="B949" s="102"/>
      <c r="C949" s="102"/>
      <c r="E949" s="123"/>
      <c r="F949" s="100"/>
    </row>
    <row r="950" spans="2:6" ht="13.5" customHeight="1">
      <c r="B950" s="102"/>
      <c r="C950" s="102"/>
      <c r="E950" s="123"/>
      <c r="F950" s="100"/>
    </row>
    <row r="951" spans="2:6" ht="13.5" customHeight="1">
      <c r="B951" s="102"/>
      <c r="C951" s="102"/>
      <c r="E951" s="123"/>
      <c r="F951" s="100"/>
    </row>
    <row r="952" spans="2:6" ht="13.5" customHeight="1">
      <c r="B952" s="102"/>
      <c r="C952" s="102"/>
      <c r="E952" s="123"/>
      <c r="F952" s="100"/>
    </row>
    <row r="953" spans="2:6" ht="13.5" customHeight="1">
      <c r="B953" s="102"/>
      <c r="C953" s="102"/>
      <c r="E953" s="123"/>
      <c r="F953" s="100"/>
    </row>
    <row r="954" spans="2:6" ht="13.5" customHeight="1">
      <c r="B954" s="102"/>
      <c r="C954" s="102"/>
      <c r="E954" s="123"/>
      <c r="F954" s="100"/>
    </row>
    <row r="955" spans="2:6" ht="13.5" customHeight="1">
      <c r="B955" s="102"/>
      <c r="C955" s="102"/>
      <c r="E955" s="123"/>
      <c r="F955" s="100"/>
    </row>
    <row r="956" spans="2:6" ht="13.5" customHeight="1">
      <c r="B956" s="102"/>
      <c r="C956" s="102"/>
      <c r="E956" s="123"/>
      <c r="F956" s="100"/>
    </row>
    <row r="957" spans="2:6" ht="13.5" customHeight="1">
      <c r="B957" s="102"/>
      <c r="C957" s="102"/>
      <c r="E957" s="123"/>
      <c r="F957" s="100"/>
    </row>
    <row r="958" spans="2:6" ht="13.5" customHeight="1">
      <c r="B958" s="102"/>
      <c r="C958" s="102"/>
      <c r="E958" s="123"/>
      <c r="F958" s="100"/>
    </row>
    <row r="959" spans="2:6" ht="13.5" customHeight="1">
      <c r="B959" s="102"/>
      <c r="C959" s="102"/>
      <c r="E959" s="123"/>
      <c r="F959" s="100"/>
    </row>
    <row r="960" spans="2:6" ht="13.5" customHeight="1">
      <c r="B960" s="102"/>
      <c r="C960" s="102"/>
      <c r="E960" s="123"/>
      <c r="F960" s="100"/>
    </row>
    <row r="961" spans="2:6" ht="13.5" customHeight="1">
      <c r="B961" s="102"/>
      <c r="C961" s="102"/>
      <c r="E961" s="123"/>
      <c r="F961" s="100"/>
    </row>
    <row r="962" spans="2:6" ht="13.5" customHeight="1">
      <c r="B962" s="102"/>
      <c r="C962" s="102"/>
      <c r="E962" s="123"/>
      <c r="F962" s="100"/>
    </row>
    <row r="963" spans="2:6" ht="13.5" customHeight="1">
      <c r="B963" s="102"/>
      <c r="C963" s="102"/>
      <c r="E963" s="123"/>
      <c r="F963" s="100"/>
    </row>
    <row r="964" spans="2:6" ht="13.5" customHeight="1">
      <c r="B964" s="102"/>
      <c r="C964" s="102"/>
      <c r="E964" s="123"/>
      <c r="F964" s="100"/>
    </row>
    <row r="965" spans="2:6" ht="13.5" customHeight="1">
      <c r="B965" s="102"/>
      <c r="C965" s="102"/>
      <c r="E965" s="123"/>
      <c r="F965" s="100"/>
    </row>
    <row r="966" spans="2:6" ht="13.5" customHeight="1">
      <c r="B966" s="102"/>
      <c r="C966" s="102"/>
      <c r="E966" s="123"/>
      <c r="F966" s="100"/>
    </row>
    <row r="967" spans="2:6" ht="13.5" customHeight="1">
      <c r="B967" s="102"/>
      <c r="C967" s="102"/>
      <c r="E967" s="123"/>
      <c r="F967" s="100"/>
    </row>
    <row r="968" spans="2:6" ht="13.5" customHeight="1">
      <c r="B968" s="102"/>
      <c r="C968" s="102"/>
      <c r="E968" s="123"/>
      <c r="F968" s="100"/>
    </row>
    <row r="969" spans="2:6" ht="13.5" customHeight="1">
      <c r="B969" s="102"/>
      <c r="C969" s="102"/>
      <c r="E969" s="123"/>
      <c r="F969" s="100"/>
    </row>
    <row r="970" spans="2:6" ht="13.5" customHeight="1">
      <c r="B970" s="102"/>
      <c r="C970" s="102"/>
      <c r="E970" s="123"/>
      <c r="F970" s="100"/>
    </row>
    <row r="971" spans="2:6" ht="13.5" customHeight="1">
      <c r="B971" s="102"/>
      <c r="C971" s="102"/>
      <c r="E971" s="123"/>
      <c r="F971" s="100"/>
    </row>
    <row r="972" spans="2:6" ht="13.5" customHeight="1">
      <c r="B972" s="102"/>
      <c r="C972" s="102"/>
      <c r="E972" s="123"/>
      <c r="F972" s="100"/>
    </row>
    <row r="973" spans="2:6" ht="13.5" customHeight="1">
      <c r="B973" s="102"/>
      <c r="C973" s="102"/>
      <c r="E973" s="123"/>
      <c r="F973" s="100"/>
    </row>
    <row r="974" spans="2:6" ht="13.5" customHeight="1">
      <c r="B974" s="102"/>
      <c r="C974" s="102"/>
      <c r="E974" s="123"/>
      <c r="F974" s="100"/>
    </row>
    <row r="975" spans="2:6" ht="13.5" customHeight="1">
      <c r="B975" s="102"/>
      <c r="C975" s="102"/>
      <c r="E975" s="123"/>
      <c r="F975" s="100"/>
    </row>
    <row r="976" spans="2:6" ht="13.5" customHeight="1">
      <c r="B976" s="102"/>
      <c r="C976" s="102"/>
      <c r="E976" s="123"/>
      <c r="F976" s="100"/>
    </row>
    <row r="977" spans="2:6" ht="13.5" customHeight="1">
      <c r="B977" s="102"/>
      <c r="C977" s="102"/>
      <c r="E977" s="123"/>
      <c r="F977" s="100"/>
    </row>
    <row r="978" spans="2:6" ht="13.5" customHeight="1">
      <c r="B978" s="102"/>
      <c r="C978" s="102"/>
      <c r="E978" s="123"/>
      <c r="F978" s="100"/>
    </row>
    <row r="979" spans="2:6" ht="13.5" customHeight="1">
      <c r="B979" s="102"/>
      <c r="C979" s="102"/>
      <c r="E979" s="123"/>
      <c r="F979" s="100"/>
    </row>
    <row r="980" spans="2:6" ht="13.5" customHeight="1">
      <c r="B980" s="102"/>
      <c r="C980" s="102"/>
      <c r="E980" s="123"/>
      <c r="F980" s="100"/>
    </row>
    <row r="981" spans="2:6" ht="13.5" customHeight="1">
      <c r="B981" s="102"/>
      <c r="C981" s="102"/>
      <c r="E981" s="123"/>
      <c r="F981" s="100"/>
    </row>
    <row r="982" spans="2:6" ht="13.5" customHeight="1">
      <c r="B982" s="102"/>
      <c r="C982" s="102"/>
      <c r="E982" s="123"/>
      <c r="F982" s="100"/>
    </row>
    <row r="983" spans="2:6" ht="13.5" customHeight="1">
      <c r="B983" s="102"/>
      <c r="C983" s="102"/>
      <c r="E983" s="123"/>
      <c r="F983" s="100"/>
    </row>
    <row r="984" spans="2:6" ht="13.5" customHeight="1">
      <c r="B984" s="102"/>
      <c r="C984" s="102"/>
      <c r="E984" s="123"/>
      <c r="F984" s="100"/>
    </row>
    <row r="985" spans="2:6" ht="13.5" customHeight="1">
      <c r="B985" s="102"/>
      <c r="C985" s="102"/>
      <c r="E985" s="123"/>
      <c r="F985" s="100"/>
    </row>
    <row r="986" spans="2:6" ht="13.5" customHeight="1">
      <c r="B986" s="102"/>
      <c r="C986" s="102"/>
      <c r="E986" s="123"/>
      <c r="F986" s="100"/>
    </row>
    <row r="987" spans="2:6" ht="13.5" customHeight="1">
      <c r="B987" s="102"/>
      <c r="C987" s="102"/>
      <c r="E987" s="123"/>
      <c r="F987" s="100"/>
    </row>
    <row r="988" spans="2:6" ht="13.5" customHeight="1">
      <c r="B988" s="102"/>
      <c r="C988" s="102"/>
      <c r="E988" s="123"/>
      <c r="F988" s="100"/>
    </row>
    <row r="989" spans="2:6" ht="13.5" customHeight="1">
      <c r="B989" s="102"/>
      <c r="C989" s="102"/>
      <c r="E989" s="123"/>
      <c r="F989" s="100"/>
    </row>
    <row r="990" spans="2:6" ht="13.5" customHeight="1">
      <c r="B990" s="102"/>
      <c r="C990" s="102"/>
      <c r="E990" s="123"/>
      <c r="F990" s="100"/>
    </row>
    <row r="991" spans="2:6" ht="13.5" customHeight="1">
      <c r="B991" s="102"/>
      <c r="C991" s="102"/>
      <c r="E991" s="123"/>
      <c r="F991" s="100"/>
    </row>
    <row r="992" spans="2:6" ht="13.5" customHeight="1">
      <c r="B992" s="102"/>
      <c r="C992" s="102"/>
      <c r="E992" s="123"/>
      <c r="F992" s="100"/>
    </row>
    <row r="993" spans="2:6" ht="13.5" customHeight="1">
      <c r="B993" s="102"/>
      <c r="C993" s="102"/>
      <c r="E993" s="123"/>
      <c r="F993" s="100"/>
    </row>
    <row r="994" spans="2:6" ht="13.5" customHeight="1">
      <c r="B994" s="102"/>
      <c r="C994" s="102"/>
      <c r="E994" s="123"/>
      <c r="F994" s="100"/>
    </row>
    <row r="995" spans="2:6" ht="13.5" customHeight="1">
      <c r="B995" s="102"/>
      <c r="C995" s="102"/>
      <c r="E995" s="123"/>
      <c r="F995" s="100"/>
    </row>
    <row r="996" spans="2:6" ht="13.5" customHeight="1">
      <c r="B996" s="102"/>
      <c r="C996" s="102"/>
      <c r="E996" s="123"/>
      <c r="F996" s="100"/>
    </row>
    <row r="997" spans="2:6" ht="13.5" customHeight="1">
      <c r="B997" s="102"/>
      <c r="C997" s="102"/>
      <c r="E997" s="123"/>
      <c r="F997" s="100"/>
    </row>
    <row r="998" spans="2:6" ht="13.5" customHeight="1">
      <c r="B998" s="102"/>
      <c r="C998" s="102"/>
      <c r="E998" s="123"/>
      <c r="F998" s="100"/>
    </row>
    <row r="999" spans="2:6" ht="13.5" customHeight="1">
      <c r="B999" s="102"/>
      <c r="C999" s="102"/>
      <c r="E999" s="123"/>
      <c r="F999" s="100"/>
    </row>
    <row r="1000" spans="2:6" ht="13.5" customHeight="1">
      <c r="B1000" s="102"/>
      <c r="C1000" s="102"/>
      <c r="E1000" s="123"/>
      <c r="F1000" s="100"/>
    </row>
  </sheetData>
  <mergeCells count="141">
    <mergeCell ref="A49:A50"/>
    <mergeCell ref="A51:A52"/>
    <mergeCell ref="B51:B52"/>
    <mergeCell ref="F51:F52"/>
    <mergeCell ref="G51:G52"/>
    <mergeCell ref="H51:H52"/>
    <mergeCell ref="I51:I52"/>
    <mergeCell ref="J51:J52"/>
    <mergeCell ref="A46:A47"/>
    <mergeCell ref="B49:B50"/>
    <mergeCell ref="F49:F50"/>
    <mergeCell ref="G49:G50"/>
    <mergeCell ref="H49:H50"/>
    <mergeCell ref="I49:I50"/>
    <mergeCell ref="J49:J50"/>
    <mergeCell ref="B17:B18"/>
    <mergeCell ref="F17:F18"/>
    <mergeCell ref="G17:G18"/>
    <mergeCell ref="H17:H18"/>
    <mergeCell ref="I17:I18"/>
    <mergeCell ref="J17:J18"/>
    <mergeCell ref="A17:A18"/>
    <mergeCell ref="B19:B20"/>
    <mergeCell ref="F19:F20"/>
    <mergeCell ref="G19:G20"/>
    <mergeCell ref="H19:H20"/>
    <mergeCell ref="I19:I20"/>
    <mergeCell ref="J19:J20"/>
    <mergeCell ref="A19:A20"/>
    <mergeCell ref="B12:B13"/>
    <mergeCell ref="F12:F13"/>
    <mergeCell ref="G12:G13"/>
    <mergeCell ref="H12:H13"/>
    <mergeCell ref="I12:I13"/>
    <mergeCell ref="J12:J13"/>
    <mergeCell ref="A12:A13"/>
    <mergeCell ref="B14:B15"/>
    <mergeCell ref="F14:F15"/>
    <mergeCell ref="G14:G15"/>
    <mergeCell ref="H14:H15"/>
    <mergeCell ref="I14:I15"/>
    <mergeCell ref="J14:J15"/>
    <mergeCell ref="A14:A15"/>
    <mergeCell ref="C7:D7"/>
    <mergeCell ref="B8:B9"/>
    <mergeCell ref="F8:F9"/>
    <mergeCell ref="G8:G9"/>
    <mergeCell ref="H8:H9"/>
    <mergeCell ref="I8:I9"/>
    <mergeCell ref="J8:J9"/>
    <mergeCell ref="A8:A9"/>
    <mergeCell ref="B10:B11"/>
    <mergeCell ref="F10:F11"/>
    <mergeCell ref="G10:G11"/>
    <mergeCell ref="H10:H11"/>
    <mergeCell ref="I10:I11"/>
    <mergeCell ref="J10:J11"/>
    <mergeCell ref="A10:A11"/>
    <mergeCell ref="B43:B44"/>
    <mergeCell ref="F43:F44"/>
    <mergeCell ref="G43:G44"/>
    <mergeCell ref="H43:H44"/>
    <mergeCell ref="I43:I44"/>
    <mergeCell ref="J43:J44"/>
    <mergeCell ref="A43:A44"/>
    <mergeCell ref="B46:B47"/>
    <mergeCell ref="F46:F47"/>
    <mergeCell ref="G46:G47"/>
    <mergeCell ref="H46:H47"/>
    <mergeCell ref="I46:I47"/>
    <mergeCell ref="J46:J47"/>
    <mergeCell ref="B39:B40"/>
    <mergeCell ref="F39:F40"/>
    <mergeCell ref="G39:G40"/>
    <mergeCell ref="H39:H40"/>
    <mergeCell ref="I39:I40"/>
    <mergeCell ref="J39:J40"/>
    <mergeCell ref="A39:A40"/>
    <mergeCell ref="B41:B42"/>
    <mergeCell ref="F41:F42"/>
    <mergeCell ref="G41:G42"/>
    <mergeCell ref="H41:H42"/>
    <mergeCell ref="I41:I42"/>
    <mergeCell ref="J41:J42"/>
    <mergeCell ref="A41:A42"/>
    <mergeCell ref="B34:B35"/>
    <mergeCell ref="F34:F35"/>
    <mergeCell ref="G34:G35"/>
    <mergeCell ref="H34:H35"/>
    <mergeCell ref="I34:I35"/>
    <mergeCell ref="J34:J35"/>
    <mergeCell ref="A34:A35"/>
    <mergeCell ref="B36:B38"/>
    <mergeCell ref="F36:F38"/>
    <mergeCell ref="G36:G38"/>
    <mergeCell ref="H36:H38"/>
    <mergeCell ref="I36:I38"/>
    <mergeCell ref="J36:J38"/>
    <mergeCell ref="A36:A38"/>
    <mergeCell ref="B30:B31"/>
    <mergeCell ref="F30:F31"/>
    <mergeCell ref="G30:G31"/>
    <mergeCell ref="H30:H31"/>
    <mergeCell ref="I30:I31"/>
    <mergeCell ref="J30:J31"/>
    <mergeCell ref="A30:A31"/>
    <mergeCell ref="B32:B33"/>
    <mergeCell ref="F32:F33"/>
    <mergeCell ref="G32:G33"/>
    <mergeCell ref="H32:H33"/>
    <mergeCell ref="I32:I33"/>
    <mergeCell ref="J32:J33"/>
    <mergeCell ref="A32:A33"/>
    <mergeCell ref="B25:B26"/>
    <mergeCell ref="F25:F26"/>
    <mergeCell ref="G25:G26"/>
    <mergeCell ref="H25:H26"/>
    <mergeCell ref="I25:I26"/>
    <mergeCell ref="J25:J26"/>
    <mergeCell ref="A25:A26"/>
    <mergeCell ref="B27:B29"/>
    <mergeCell ref="F27:F29"/>
    <mergeCell ref="G27:G29"/>
    <mergeCell ref="H27:H29"/>
    <mergeCell ref="I27:I29"/>
    <mergeCell ref="J27:J29"/>
    <mergeCell ref="A27:A29"/>
    <mergeCell ref="B21:B22"/>
    <mergeCell ref="F21:F22"/>
    <mergeCell ref="G21:G22"/>
    <mergeCell ref="H21:H22"/>
    <mergeCell ref="I21:I22"/>
    <mergeCell ref="J21:J22"/>
    <mergeCell ref="A21:A22"/>
    <mergeCell ref="B23:B24"/>
    <mergeCell ref="F23:F24"/>
    <mergeCell ref="G23:G24"/>
    <mergeCell ref="H23:H24"/>
    <mergeCell ref="I23:I24"/>
    <mergeCell ref="J23:J24"/>
    <mergeCell ref="A23:A24"/>
  </mergeCells>
  <pageMargins left="0.39370078740157483" right="0.70866141732283472" top="0" bottom="0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1"/>
  <sheetViews>
    <sheetView workbookViewId="0">
      <selection sqref="A1:C1"/>
    </sheetView>
  </sheetViews>
  <sheetFormatPr defaultColWidth="14.44140625" defaultRowHeight="15" customHeight="1"/>
  <cols>
    <col min="1" max="1" width="16.44140625" customWidth="1"/>
    <col min="2" max="2" width="14.33203125" customWidth="1"/>
    <col min="3" max="3" width="34.5546875" customWidth="1"/>
    <col min="4" max="26" width="8.6640625" customWidth="1"/>
  </cols>
  <sheetData>
    <row r="1" spans="1:26" ht="49.5" customHeight="1">
      <c r="A1" s="206" t="s">
        <v>184</v>
      </c>
      <c r="B1" s="185"/>
      <c r="C1" s="185"/>
    </row>
    <row r="2" spans="1:26" ht="30" customHeight="1">
      <c r="A2" s="207" t="s">
        <v>129</v>
      </c>
      <c r="B2" s="208"/>
      <c r="C2" s="209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spans="1:26" ht="30" customHeight="1">
      <c r="A3" s="143" t="s">
        <v>185</v>
      </c>
      <c r="B3" s="144" t="s">
        <v>186</v>
      </c>
      <c r="C3" s="145" t="s">
        <v>187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spans="1:26" ht="30" customHeight="1">
      <c r="A4" s="146" t="s">
        <v>188</v>
      </c>
      <c r="B4" s="86"/>
      <c r="C4" s="147"/>
    </row>
    <row r="5" spans="1:26" ht="30" customHeight="1">
      <c r="A5" s="148" t="s">
        <v>189</v>
      </c>
      <c r="B5" s="149"/>
      <c r="C5" s="150"/>
    </row>
    <row r="6" spans="1:26" ht="30" customHeight="1">
      <c r="A6" s="148" t="s">
        <v>190</v>
      </c>
      <c r="B6" s="149"/>
      <c r="C6" s="150"/>
    </row>
    <row r="7" spans="1:26" ht="30" customHeight="1">
      <c r="A7" s="151"/>
      <c r="B7" s="152"/>
      <c r="C7" s="153"/>
    </row>
    <row r="8" spans="1:26" ht="30" customHeight="1">
      <c r="A8" s="154" t="s">
        <v>134</v>
      </c>
      <c r="B8" s="155">
        <f>SUM(B4:B7)</f>
        <v>0</v>
      </c>
      <c r="C8" s="156"/>
    </row>
    <row r="9" spans="1:26" ht="30" customHeight="1">
      <c r="A9" s="207" t="s">
        <v>135</v>
      </c>
      <c r="B9" s="208"/>
      <c r="C9" s="209"/>
    </row>
    <row r="10" spans="1:26" ht="30" customHeight="1">
      <c r="A10" s="157" t="s">
        <v>185</v>
      </c>
      <c r="B10" s="144" t="s">
        <v>186</v>
      </c>
      <c r="C10" s="158" t="s">
        <v>187</v>
      </c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spans="1:26" ht="25.5" customHeight="1">
      <c r="A11" s="146" t="s">
        <v>191</v>
      </c>
      <c r="B11" s="86"/>
      <c r="C11" s="147"/>
    </row>
    <row r="12" spans="1:26" ht="23.25" customHeight="1">
      <c r="A12" s="148"/>
      <c r="B12" s="149"/>
      <c r="C12" s="150"/>
    </row>
    <row r="13" spans="1:26" ht="22.5" customHeight="1">
      <c r="A13" s="159"/>
      <c r="B13" s="160"/>
      <c r="C13" s="150"/>
    </row>
    <row r="14" spans="1:26" ht="30" customHeight="1">
      <c r="A14" s="148" t="s">
        <v>130</v>
      </c>
      <c r="B14" s="149"/>
      <c r="C14" s="150"/>
    </row>
    <row r="15" spans="1:26" ht="30" customHeight="1">
      <c r="A15" s="151" t="s">
        <v>192</v>
      </c>
      <c r="B15" s="152"/>
      <c r="C15" s="153"/>
    </row>
    <row r="16" spans="1:26" ht="13.5" customHeight="1">
      <c r="A16" s="154" t="s">
        <v>134</v>
      </c>
      <c r="B16" s="155">
        <f>SUM(B11:B15)</f>
        <v>0</v>
      </c>
      <c r="C16" s="156"/>
    </row>
    <row r="17" spans="2:2" ht="13.5" customHeight="1">
      <c r="B17" s="94"/>
    </row>
    <row r="18" spans="2:2" ht="13.5" customHeight="1">
      <c r="B18" s="94"/>
    </row>
    <row r="19" spans="2:2" ht="13.5" customHeight="1">
      <c r="B19" s="94"/>
    </row>
    <row r="20" spans="2:2" ht="13.5" customHeight="1">
      <c r="B20" s="94"/>
    </row>
    <row r="21" spans="2:2" ht="13.5" customHeight="1">
      <c r="B21" s="94"/>
    </row>
    <row r="22" spans="2:2" ht="13.5" customHeight="1">
      <c r="B22" s="94"/>
    </row>
    <row r="23" spans="2:2" ht="13.5" customHeight="1">
      <c r="B23" s="94"/>
    </row>
    <row r="24" spans="2:2" ht="13.5" customHeight="1">
      <c r="B24" s="94"/>
    </row>
    <row r="25" spans="2:2" ht="13.5" customHeight="1">
      <c r="B25" s="94"/>
    </row>
    <row r="26" spans="2:2" ht="13.5" customHeight="1">
      <c r="B26" s="94"/>
    </row>
    <row r="27" spans="2:2" ht="13.5" customHeight="1">
      <c r="B27" s="94"/>
    </row>
    <row r="28" spans="2:2" ht="13.5" customHeight="1">
      <c r="B28" s="94"/>
    </row>
    <row r="29" spans="2:2" ht="13.5" customHeight="1">
      <c r="B29" s="94"/>
    </row>
    <row r="30" spans="2:2" ht="13.5" customHeight="1">
      <c r="B30" s="94"/>
    </row>
    <row r="31" spans="2:2" ht="13.5" customHeight="1">
      <c r="B31" s="94"/>
    </row>
    <row r="32" spans="2:2" ht="13.5" customHeight="1">
      <c r="B32" s="94"/>
    </row>
    <row r="33" spans="2:2" ht="13.5" customHeight="1">
      <c r="B33" s="94"/>
    </row>
    <row r="34" spans="2:2" ht="13.5" customHeight="1">
      <c r="B34" s="94"/>
    </row>
    <row r="35" spans="2:2" ht="13.5" customHeight="1">
      <c r="B35" s="94"/>
    </row>
    <row r="36" spans="2:2" ht="13.5" customHeight="1">
      <c r="B36" s="94"/>
    </row>
    <row r="37" spans="2:2" ht="13.5" customHeight="1">
      <c r="B37" s="94"/>
    </row>
    <row r="38" spans="2:2" ht="13.5" customHeight="1">
      <c r="B38" s="94"/>
    </row>
    <row r="39" spans="2:2" ht="13.5" customHeight="1">
      <c r="B39" s="94"/>
    </row>
    <row r="40" spans="2:2" ht="13.5" customHeight="1">
      <c r="B40" s="94"/>
    </row>
    <row r="41" spans="2:2" ht="13.5" customHeight="1">
      <c r="B41" s="94"/>
    </row>
    <row r="42" spans="2:2" ht="13.5" customHeight="1">
      <c r="B42" s="94"/>
    </row>
    <row r="43" spans="2:2" ht="13.5" customHeight="1">
      <c r="B43" s="94"/>
    </row>
    <row r="44" spans="2:2" ht="13.5" customHeight="1">
      <c r="B44" s="94"/>
    </row>
    <row r="45" spans="2:2" ht="13.5" customHeight="1">
      <c r="B45" s="94"/>
    </row>
    <row r="46" spans="2:2" ht="13.5" customHeight="1">
      <c r="B46" s="94"/>
    </row>
    <row r="47" spans="2:2" ht="13.5" customHeight="1">
      <c r="B47" s="94"/>
    </row>
    <row r="48" spans="2:2" ht="13.5" customHeight="1">
      <c r="B48" s="94"/>
    </row>
    <row r="49" spans="2:2" ht="13.5" customHeight="1">
      <c r="B49" s="94"/>
    </row>
    <row r="50" spans="2:2" ht="13.5" customHeight="1">
      <c r="B50" s="94"/>
    </row>
    <row r="51" spans="2:2" ht="13.5" customHeight="1">
      <c r="B51" s="94"/>
    </row>
    <row r="52" spans="2:2" ht="13.5" customHeight="1">
      <c r="B52" s="94"/>
    </row>
    <row r="53" spans="2:2" ht="13.5" customHeight="1">
      <c r="B53" s="94"/>
    </row>
    <row r="54" spans="2:2" ht="13.5" customHeight="1">
      <c r="B54" s="94"/>
    </row>
    <row r="55" spans="2:2" ht="13.5" customHeight="1">
      <c r="B55" s="94"/>
    </row>
    <row r="56" spans="2:2" ht="13.5" customHeight="1">
      <c r="B56" s="94"/>
    </row>
    <row r="57" spans="2:2" ht="13.5" customHeight="1">
      <c r="B57" s="94"/>
    </row>
    <row r="58" spans="2:2" ht="13.5" customHeight="1">
      <c r="B58" s="94"/>
    </row>
    <row r="59" spans="2:2" ht="13.5" customHeight="1">
      <c r="B59" s="94"/>
    </row>
    <row r="60" spans="2:2" ht="13.5" customHeight="1">
      <c r="B60" s="94"/>
    </row>
    <row r="61" spans="2:2" ht="13.5" customHeight="1">
      <c r="B61" s="94"/>
    </row>
    <row r="62" spans="2:2" ht="13.5" customHeight="1">
      <c r="B62" s="94"/>
    </row>
    <row r="63" spans="2:2" ht="13.5" customHeight="1">
      <c r="B63" s="94"/>
    </row>
    <row r="64" spans="2:2" ht="13.5" customHeight="1">
      <c r="B64" s="94"/>
    </row>
    <row r="65" spans="2:2" ht="13.5" customHeight="1">
      <c r="B65" s="94"/>
    </row>
    <row r="66" spans="2:2" ht="13.5" customHeight="1">
      <c r="B66" s="94"/>
    </row>
    <row r="67" spans="2:2" ht="13.5" customHeight="1">
      <c r="B67" s="94"/>
    </row>
    <row r="68" spans="2:2" ht="13.5" customHeight="1">
      <c r="B68" s="94"/>
    </row>
    <row r="69" spans="2:2" ht="13.5" customHeight="1">
      <c r="B69" s="94"/>
    </row>
    <row r="70" spans="2:2" ht="13.5" customHeight="1">
      <c r="B70" s="94"/>
    </row>
    <row r="71" spans="2:2" ht="13.5" customHeight="1">
      <c r="B71" s="94"/>
    </row>
    <row r="72" spans="2:2" ht="13.5" customHeight="1">
      <c r="B72" s="94"/>
    </row>
    <row r="73" spans="2:2" ht="13.5" customHeight="1">
      <c r="B73" s="94"/>
    </row>
    <row r="74" spans="2:2" ht="13.5" customHeight="1">
      <c r="B74" s="94"/>
    </row>
    <row r="75" spans="2:2" ht="13.5" customHeight="1">
      <c r="B75" s="94"/>
    </row>
    <row r="76" spans="2:2" ht="13.5" customHeight="1">
      <c r="B76" s="94"/>
    </row>
    <row r="77" spans="2:2" ht="13.5" customHeight="1">
      <c r="B77" s="94"/>
    </row>
    <row r="78" spans="2:2" ht="13.5" customHeight="1">
      <c r="B78" s="94"/>
    </row>
    <row r="79" spans="2:2" ht="13.5" customHeight="1">
      <c r="B79" s="94"/>
    </row>
    <row r="80" spans="2:2" ht="13.5" customHeight="1">
      <c r="B80" s="94"/>
    </row>
    <row r="81" spans="2:2" ht="13.5" customHeight="1">
      <c r="B81" s="94"/>
    </row>
    <row r="82" spans="2:2" ht="13.5" customHeight="1">
      <c r="B82" s="94"/>
    </row>
    <row r="83" spans="2:2" ht="13.5" customHeight="1">
      <c r="B83" s="94"/>
    </row>
    <row r="84" spans="2:2" ht="13.5" customHeight="1">
      <c r="B84" s="94"/>
    </row>
    <row r="85" spans="2:2" ht="13.5" customHeight="1">
      <c r="B85" s="94"/>
    </row>
    <row r="86" spans="2:2" ht="13.5" customHeight="1">
      <c r="B86" s="94"/>
    </row>
    <row r="87" spans="2:2" ht="13.5" customHeight="1">
      <c r="B87" s="94"/>
    </row>
    <row r="88" spans="2:2" ht="13.5" customHeight="1">
      <c r="B88" s="94"/>
    </row>
    <row r="89" spans="2:2" ht="13.5" customHeight="1">
      <c r="B89" s="94"/>
    </row>
    <row r="90" spans="2:2" ht="13.5" customHeight="1">
      <c r="B90" s="94"/>
    </row>
    <row r="91" spans="2:2" ht="13.5" customHeight="1">
      <c r="B91" s="94"/>
    </row>
    <row r="92" spans="2:2" ht="13.5" customHeight="1">
      <c r="B92" s="94"/>
    </row>
    <row r="93" spans="2:2" ht="13.5" customHeight="1">
      <c r="B93" s="94"/>
    </row>
    <row r="94" spans="2:2" ht="13.5" customHeight="1">
      <c r="B94" s="94"/>
    </row>
    <row r="95" spans="2:2" ht="13.5" customHeight="1">
      <c r="B95" s="94"/>
    </row>
    <row r="96" spans="2:2" ht="13.5" customHeight="1">
      <c r="B96" s="94"/>
    </row>
    <row r="97" spans="2:2" ht="13.5" customHeight="1">
      <c r="B97" s="94"/>
    </row>
    <row r="98" spans="2:2" ht="13.5" customHeight="1">
      <c r="B98" s="94"/>
    </row>
    <row r="99" spans="2:2" ht="13.5" customHeight="1">
      <c r="B99" s="94"/>
    </row>
    <row r="100" spans="2:2" ht="13.5" customHeight="1">
      <c r="B100" s="94"/>
    </row>
    <row r="101" spans="2:2" ht="13.5" customHeight="1">
      <c r="B101" s="94"/>
    </row>
    <row r="102" spans="2:2" ht="13.5" customHeight="1">
      <c r="B102" s="94"/>
    </row>
    <row r="103" spans="2:2" ht="13.5" customHeight="1">
      <c r="B103" s="94"/>
    </row>
    <row r="104" spans="2:2" ht="13.5" customHeight="1">
      <c r="B104" s="94"/>
    </row>
    <row r="105" spans="2:2" ht="13.5" customHeight="1">
      <c r="B105" s="94"/>
    </row>
    <row r="106" spans="2:2" ht="13.5" customHeight="1">
      <c r="B106" s="94"/>
    </row>
    <row r="107" spans="2:2" ht="13.5" customHeight="1">
      <c r="B107" s="94"/>
    </row>
    <row r="108" spans="2:2" ht="13.5" customHeight="1">
      <c r="B108" s="94"/>
    </row>
    <row r="109" spans="2:2" ht="13.5" customHeight="1">
      <c r="B109" s="94"/>
    </row>
    <row r="110" spans="2:2" ht="13.5" customHeight="1">
      <c r="B110" s="94"/>
    </row>
    <row r="111" spans="2:2" ht="13.5" customHeight="1">
      <c r="B111" s="94"/>
    </row>
    <row r="112" spans="2:2" ht="13.5" customHeight="1">
      <c r="B112" s="94"/>
    </row>
    <row r="113" spans="2:2" ht="13.5" customHeight="1">
      <c r="B113" s="94"/>
    </row>
    <row r="114" spans="2:2" ht="13.5" customHeight="1">
      <c r="B114" s="94"/>
    </row>
    <row r="115" spans="2:2" ht="13.5" customHeight="1">
      <c r="B115" s="94"/>
    </row>
    <row r="116" spans="2:2" ht="13.5" customHeight="1">
      <c r="B116" s="94"/>
    </row>
    <row r="117" spans="2:2" ht="13.5" customHeight="1">
      <c r="B117" s="94"/>
    </row>
    <row r="118" spans="2:2" ht="13.5" customHeight="1">
      <c r="B118" s="94"/>
    </row>
    <row r="119" spans="2:2" ht="13.5" customHeight="1">
      <c r="B119" s="94"/>
    </row>
    <row r="120" spans="2:2" ht="13.5" customHeight="1">
      <c r="B120" s="94"/>
    </row>
    <row r="121" spans="2:2" ht="13.5" customHeight="1">
      <c r="B121" s="94"/>
    </row>
    <row r="122" spans="2:2" ht="13.5" customHeight="1">
      <c r="B122" s="94"/>
    </row>
    <row r="123" spans="2:2" ht="13.5" customHeight="1">
      <c r="B123" s="94"/>
    </row>
    <row r="124" spans="2:2" ht="13.5" customHeight="1">
      <c r="B124" s="94"/>
    </row>
    <row r="125" spans="2:2" ht="13.5" customHeight="1">
      <c r="B125" s="94"/>
    </row>
    <row r="126" spans="2:2" ht="13.5" customHeight="1">
      <c r="B126" s="94"/>
    </row>
    <row r="127" spans="2:2" ht="13.5" customHeight="1">
      <c r="B127" s="94"/>
    </row>
    <row r="128" spans="2:2" ht="13.5" customHeight="1">
      <c r="B128" s="94"/>
    </row>
    <row r="129" spans="2:2" ht="13.5" customHeight="1">
      <c r="B129" s="94"/>
    </row>
    <row r="130" spans="2:2" ht="13.5" customHeight="1">
      <c r="B130" s="94"/>
    </row>
    <row r="131" spans="2:2" ht="13.5" customHeight="1">
      <c r="B131" s="94"/>
    </row>
    <row r="132" spans="2:2" ht="13.5" customHeight="1">
      <c r="B132" s="94"/>
    </row>
    <row r="133" spans="2:2" ht="13.5" customHeight="1">
      <c r="B133" s="94"/>
    </row>
    <row r="134" spans="2:2" ht="13.5" customHeight="1">
      <c r="B134" s="94"/>
    </row>
    <row r="135" spans="2:2" ht="13.5" customHeight="1">
      <c r="B135" s="94"/>
    </row>
    <row r="136" spans="2:2" ht="13.5" customHeight="1">
      <c r="B136" s="94"/>
    </row>
    <row r="137" spans="2:2" ht="13.5" customHeight="1">
      <c r="B137" s="94"/>
    </row>
    <row r="138" spans="2:2" ht="13.5" customHeight="1">
      <c r="B138" s="94"/>
    </row>
    <row r="139" spans="2:2" ht="13.5" customHeight="1">
      <c r="B139" s="94"/>
    </row>
    <row r="140" spans="2:2" ht="13.5" customHeight="1">
      <c r="B140" s="94"/>
    </row>
    <row r="141" spans="2:2" ht="13.5" customHeight="1">
      <c r="B141" s="94"/>
    </row>
    <row r="142" spans="2:2" ht="13.5" customHeight="1">
      <c r="B142" s="94"/>
    </row>
    <row r="143" spans="2:2" ht="13.5" customHeight="1">
      <c r="B143" s="94"/>
    </row>
    <row r="144" spans="2:2" ht="13.5" customHeight="1">
      <c r="B144" s="94"/>
    </row>
    <row r="145" spans="2:2" ht="13.5" customHeight="1">
      <c r="B145" s="94"/>
    </row>
    <row r="146" spans="2:2" ht="13.5" customHeight="1">
      <c r="B146" s="94"/>
    </row>
    <row r="147" spans="2:2" ht="13.5" customHeight="1">
      <c r="B147" s="94"/>
    </row>
    <row r="148" spans="2:2" ht="13.5" customHeight="1">
      <c r="B148" s="94"/>
    </row>
    <row r="149" spans="2:2" ht="13.5" customHeight="1">
      <c r="B149" s="94"/>
    </row>
    <row r="150" spans="2:2" ht="13.5" customHeight="1">
      <c r="B150" s="94"/>
    </row>
    <row r="151" spans="2:2" ht="13.5" customHeight="1">
      <c r="B151" s="94"/>
    </row>
    <row r="152" spans="2:2" ht="13.5" customHeight="1">
      <c r="B152" s="94"/>
    </row>
    <row r="153" spans="2:2" ht="13.5" customHeight="1">
      <c r="B153" s="94"/>
    </row>
    <row r="154" spans="2:2" ht="13.5" customHeight="1">
      <c r="B154" s="94"/>
    </row>
    <row r="155" spans="2:2" ht="13.5" customHeight="1">
      <c r="B155" s="94"/>
    </row>
    <row r="156" spans="2:2" ht="13.5" customHeight="1">
      <c r="B156" s="94"/>
    </row>
    <row r="157" spans="2:2" ht="13.5" customHeight="1">
      <c r="B157" s="94"/>
    </row>
    <row r="158" spans="2:2" ht="13.5" customHeight="1">
      <c r="B158" s="94"/>
    </row>
    <row r="159" spans="2:2" ht="13.5" customHeight="1">
      <c r="B159" s="94"/>
    </row>
    <row r="160" spans="2:2" ht="13.5" customHeight="1">
      <c r="B160" s="94"/>
    </row>
    <row r="161" spans="2:2" ht="13.5" customHeight="1">
      <c r="B161" s="94"/>
    </row>
    <row r="162" spans="2:2" ht="13.5" customHeight="1">
      <c r="B162" s="94"/>
    </row>
    <row r="163" spans="2:2" ht="13.5" customHeight="1">
      <c r="B163" s="94"/>
    </row>
    <row r="164" spans="2:2" ht="13.5" customHeight="1">
      <c r="B164" s="94"/>
    </row>
    <row r="165" spans="2:2" ht="13.5" customHeight="1">
      <c r="B165" s="94"/>
    </row>
    <row r="166" spans="2:2" ht="13.5" customHeight="1">
      <c r="B166" s="94"/>
    </row>
    <row r="167" spans="2:2" ht="13.5" customHeight="1">
      <c r="B167" s="94"/>
    </row>
    <row r="168" spans="2:2" ht="13.5" customHeight="1">
      <c r="B168" s="94"/>
    </row>
    <row r="169" spans="2:2" ht="13.5" customHeight="1">
      <c r="B169" s="94"/>
    </row>
    <row r="170" spans="2:2" ht="13.5" customHeight="1">
      <c r="B170" s="94"/>
    </row>
    <row r="171" spans="2:2" ht="13.5" customHeight="1">
      <c r="B171" s="94"/>
    </row>
    <row r="172" spans="2:2" ht="13.5" customHeight="1">
      <c r="B172" s="94"/>
    </row>
    <row r="173" spans="2:2" ht="13.5" customHeight="1">
      <c r="B173" s="94"/>
    </row>
    <row r="174" spans="2:2" ht="13.5" customHeight="1">
      <c r="B174" s="94"/>
    </row>
    <row r="175" spans="2:2" ht="13.5" customHeight="1">
      <c r="B175" s="94"/>
    </row>
    <row r="176" spans="2:2" ht="13.5" customHeight="1">
      <c r="B176" s="94"/>
    </row>
    <row r="177" spans="2:2" ht="13.5" customHeight="1">
      <c r="B177" s="94"/>
    </row>
    <row r="178" spans="2:2" ht="13.5" customHeight="1">
      <c r="B178" s="94"/>
    </row>
    <row r="179" spans="2:2" ht="13.5" customHeight="1">
      <c r="B179" s="94"/>
    </row>
    <row r="180" spans="2:2" ht="13.5" customHeight="1">
      <c r="B180" s="94"/>
    </row>
    <row r="181" spans="2:2" ht="13.5" customHeight="1">
      <c r="B181" s="94"/>
    </row>
    <row r="182" spans="2:2" ht="13.5" customHeight="1">
      <c r="B182" s="94"/>
    </row>
    <row r="183" spans="2:2" ht="13.5" customHeight="1">
      <c r="B183" s="94"/>
    </row>
    <row r="184" spans="2:2" ht="13.5" customHeight="1">
      <c r="B184" s="94"/>
    </row>
    <row r="185" spans="2:2" ht="13.5" customHeight="1">
      <c r="B185" s="94"/>
    </row>
    <row r="186" spans="2:2" ht="13.5" customHeight="1">
      <c r="B186" s="94"/>
    </row>
    <row r="187" spans="2:2" ht="13.5" customHeight="1">
      <c r="B187" s="94"/>
    </row>
    <row r="188" spans="2:2" ht="13.5" customHeight="1">
      <c r="B188" s="94"/>
    </row>
    <row r="189" spans="2:2" ht="13.5" customHeight="1">
      <c r="B189" s="94"/>
    </row>
    <row r="190" spans="2:2" ht="13.5" customHeight="1">
      <c r="B190" s="94"/>
    </row>
    <row r="191" spans="2:2" ht="13.5" customHeight="1">
      <c r="B191" s="94"/>
    </row>
    <row r="192" spans="2:2" ht="13.5" customHeight="1">
      <c r="B192" s="94"/>
    </row>
    <row r="193" spans="2:2" ht="13.5" customHeight="1">
      <c r="B193" s="94"/>
    </row>
    <row r="194" spans="2:2" ht="13.5" customHeight="1">
      <c r="B194" s="94"/>
    </row>
    <row r="195" spans="2:2" ht="13.5" customHeight="1">
      <c r="B195" s="94"/>
    </row>
    <row r="196" spans="2:2" ht="13.5" customHeight="1">
      <c r="B196" s="94"/>
    </row>
    <row r="197" spans="2:2" ht="13.5" customHeight="1">
      <c r="B197" s="94"/>
    </row>
    <row r="198" spans="2:2" ht="13.5" customHeight="1">
      <c r="B198" s="94"/>
    </row>
    <row r="199" spans="2:2" ht="13.5" customHeight="1">
      <c r="B199" s="94"/>
    </row>
    <row r="200" spans="2:2" ht="13.5" customHeight="1">
      <c r="B200" s="94"/>
    </row>
    <row r="201" spans="2:2" ht="13.5" customHeight="1">
      <c r="B201" s="94"/>
    </row>
    <row r="202" spans="2:2" ht="13.5" customHeight="1">
      <c r="B202" s="94"/>
    </row>
    <row r="203" spans="2:2" ht="13.5" customHeight="1">
      <c r="B203" s="94"/>
    </row>
    <row r="204" spans="2:2" ht="13.5" customHeight="1">
      <c r="B204" s="94"/>
    </row>
    <row r="205" spans="2:2" ht="13.5" customHeight="1">
      <c r="B205" s="94"/>
    </row>
    <row r="206" spans="2:2" ht="13.5" customHeight="1">
      <c r="B206" s="94"/>
    </row>
    <row r="207" spans="2:2" ht="13.5" customHeight="1">
      <c r="B207" s="94"/>
    </row>
    <row r="208" spans="2:2" ht="13.5" customHeight="1">
      <c r="B208" s="94"/>
    </row>
    <row r="209" spans="2:2" ht="13.5" customHeight="1">
      <c r="B209" s="94"/>
    </row>
    <row r="210" spans="2:2" ht="13.5" customHeight="1">
      <c r="B210" s="94"/>
    </row>
    <row r="211" spans="2:2" ht="13.5" customHeight="1">
      <c r="B211" s="94"/>
    </row>
    <row r="212" spans="2:2" ht="13.5" customHeight="1">
      <c r="B212" s="94"/>
    </row>
    <row r="213" spans="2:2" ht="13.5" customHeight="1">
      <c r="B213" s="94"/>
    </row>
    <row r="214" spans="2:2" ht="13.5" customHeight="1">
      <c r="B214" s="94"/>
    </row>
    <row r="215" spans="2:2" ht="13.5" customHeight="1">
      <c r="B215" s="94"/>
    </row>
    <row r="216" spans="2:2" ht="13.5" customHeight="1">
      <c r="B216" s="94"/>
    </row>
    <row r="217" spans="2:2" ht="13.5" customHeight="1">
      <c r="B217" s="94"/>
    </row>
    <row r="218" spans="2:2" ht="13.5" customHeight="1">
      <c r="B218" s="94"/>
    </row>
    <row r="219" spans="2:2" ht="13.5" customHeight="1">
      <c r="B219" s="94"/>
    </row>
    <row r="220" spans="2:2" ht="13.5" customHeight="1">
      <c r="B220" s="94"/>
    </row>
    <row r="221" spans="2:2" ht="13.5" customHeight="1">
      <c r="B221" s="94"/>
    </row>
    <row r="222" spans="2:2" ht="13.5" customHeight="1">
      <c r="B222" s="94"/>
    </row>
    <row r="223" spans="2:2" ht="13.5" customHeight="1">
      <c r="B223" s="94"/>
    </row>
    <row r="224" spans="2:2" ht="13.5" customHeight="1">
      <c r="B224" s="94"/>
    </row>
    <row r="225" spans="2:2" ht="13.5" customHeight="1">
      <c r="B225" s="94"/>
    </row>
    <row r="226" spans="2:2" ht="13.5" customHeight="1">
      <c r="B226" s="94"/>
    </row>
    <row r="227" spans="2:2" ht="13.5" customHeight="1">
      <c r="B227" s="94"/>
    </row>
    <row r="228" spans="2:2" ht="13.5" customHeight="1">
      <c r="B228" s="94"/>
    </row>
    <row r="229" spans="2:2" ht="13.5" customHeight="1">
      <c r="B229" s="94"/>
    </row>
    <row r="230" spans="2:2" ht="13.5" customHeight="1">
      <c r="B230" s="94"/>
    </row>
    <row r="231" spans="2:2" ht="13.5" customHeight="1">
      <c r="B231" s="94"/>
    </row>
    <row r="232" spans="2:2" ht="13.5" customHeight="1">
      <c r="B232" s="94"/>
    </row>
    <row r="233" spans="2:2" ht="13.5" customHeight="1">
      <c r="B233" s="94"/>
    </row>
    <row r="234" spans="2:2" ht="13.5" customHeight="1">
      <c r="B234" s="94"/>
    </row>
    <row r="235" spans="2:2" ht="13.5" customHeight="1">
      <c r="B235" s="94"/>
    </row>
    <row r="236" spans="2:2" ht="13.5" customHeight="1">
      <c r="B236" s="94"/>
    </row>
    <row r="237" spans="2:2" ht="13.5" customHeight="1">
      <c r="B237" s="94"/>
    </row>
    <row r="238" spans="2:2" ht="13.5" customHeight="1">
      <c r="B238" s="94"/>
    </row>
    <row r="239" spans="2:2" ht="13.5" customHeight="1">
      <c r="B239" s="94"/>
    </row>
    <row r="240" spans="2:2" ht="13.5" customHeight="1">
      <c r="B240" s="94"/>
    </row>
    <row r="241" spans="2:2" ht="13.5" customHeight="1">
      <c r="B241" s="94"/>
    </row>
    <row r="242" spans="2:2" ht="13.5" customHeight="1">
      <c r="B242" s="94"/>
    </row>
    <row r="243" spans="2:2" ht="13.5" customHeight="1">
      <c r="B243" s="94"/>
    </row>
    <row r="244" spans="2:2" ht="13.5" customHeight="1">
      <c r="B244" s="94"/>
    </row>
    <row r="245" spans="2:2" ht="13.5" customHeight="1">
      <c r="B245" s="94"/>
    </row>
    <row r="246" spans="2:2" ht="13.5" customHeight="1">
      <c r="B246" s="94"/>
    </row>
    <row r="247" spans="2:2" ht="13.5" customHeight="1">
      <c r="B247" s="94"/>
    </row>
    <row r="248" spans="2:2" ht="13.5" customHeight="1">
      <c r="B248" s="94"/>
    </row>
    <row r="249" spans="2:2" ht="13.5" customHeight="1">
      <c r="B249" s="94"/>
    </row>
    <row r="250" spans="2:2" ht="13.5" customHeight="1">
      <c r="B250" s="94"/>
    </row>
    <row r="251" spans="2:2" ht="13.5" customHeight="1">
      <c r="B251" s="94"/>
    </row>
    <row r="252" spans="2:2" ht="13.5" customHeight="1">
      <c r="B252" s="94"/>
    </row>
    <row r="253" spans="2:2" ht="13.5" customHeight="1">
      <c r="B253" s="94"/>
    </row>
    <row r="254" spans="2:2" ht="13.5" customHeight="1">
      <c r="B254" s="94"/>
    </row>
    <row r="255" spans="2:2" ht="13.5" customHeight="1">
      <c r="B255" s="94"/>
    </row>
    <row r="256" spans="2:2" ht="13.5" customHeight="1">
      <c r="B256" s="94"/>
    </row>
    <row r="257" spans="2:2" ht="13.5" customHeight="1">
      <c r="B257" s="94"/>
    </row>
    <row r="258" spans="2:2" ht="13.5" customHeight="1">
      <c r="B258" s="94"/>
    </row>
    <row r="259" spans="2:2" ht="13.5" customHeight="1">
      <c r="B259" s="94"/>
    </row>
    <row r="260" spans="2:2" ht="13.5" customHeight="1">
      <c r="B260" s="94"/>
    </row>
    <row r="261" spans="2:2" ht="13.5" customHeight="1">
      <c r="B261" s="94"/>
    </row>
    <row r="262" spans="2:2" ht="13.5" customHeight="1">
      <c r="B262" s="94"/>
    </row>
    <row r="263" spans="2:2" ht="13.5" customHeight="1">
      <c r="B263" s="94"/>
    </row>
    <row r="264" spans="2:2" ht="13.5" customHeight="1">
      <c r="B264" s="94"/>
    </row>
    <row r="265" spans="2:2" ht="13.5" customHeight="1">
      <c r="B265" s="94"/>
    </row>
    <row r="266" spans="2:2" ht="13.5" customHeight="1">
      <c r="B266" s="94"/>
    </row>
    <row r="267" spans="2:2" ht="13.5" customHeight="1">
      <c r="B267" s="94"/>
    </row>
    <row r="268" spans="2:2" ht="13.5" customHeight="1">
      <c r="B268" s="94"/>
    </row>
    <row r="269" spans="2:2" ht="13.5" customHeight="1">
      <c r="B269" s="94"/>
    </row>
    <row r="270" spans="2:2" ht="13.5" customHeight="1">
      <c r="B270" s="94"/>
    </row>
    <row r="271" spans="2:2" ht="13.5" customHeight="1">
      <c r="B271" s="94"/>
    </row>
    <row r="272" spans="2:2" ht="13.5" customHeight="1">
      <c r="B272" s="94"/>
    </row>
    <row r="273" spans="2:2" ht="13.5" customHeight="1">
      <c r="B273" s="94"/>
    </row>
    <row r="274" spans="2:2" ht="13.5" customHeight="1">
      <c r="B274" s="94"/>
    </row>
    <row r="275" spans="2:2" ht="13.5" customHeight="1">
      <c r="B275" s="94"/>
    </row>
    <row r="276" spans="2:2" ht="13.5" customHeight="1">
      <c r="B276" s="94"/>
    </row>
    <row r="277" spans="2:2" ht="13.5" customHeight="1">
      <c r="B277" s="94"/>
    </row>
    <row r="278" spans="2:2" ht="13.5" customHeight="1">
      <c r="B278" s="94"/>
    </row>
    <row r="279" spans="2:2" ht="13.5" customHeight="1">
      <c r="B279" s="94"/>
    </row>
    <row r="280" spans="2:2" ht="13.5" customHeight="1">
      <c r="B280" s="94"/>
    </row>
    <row r="281" spans="2:2" ht="13.5" customHeight="1">
      <c r="B281" s="94"/>
    </row>
    <row r="282" spans="2:2" ht="13.5" customHeight="1">
      <c r="B282" s="94"/>
    </row>
    <row r="283" spans="2:2" ht="13.5" customHeight="1">
      <c r="B283" s="94"/>
    </row>
    <row r="284" spans="2:2" ht="13.5" customHeight="1">
      <c r="B284" s="94"/>
    </row>
    <row r="285" spans="2:2" ht="13.5" customHeight="1">
      <c r="B285" s="94"/>
    </row>
    <row r="286" spans="2:2" ht="13.5" customHeight="1">
      <c r="B286" s="94"/>
    </row>
    <row r="287" spans="2:2" ht="13.5" customHeight="1">
      <c r="B287" s="94"/>
    </row>
    <row r="288" spans="2:2" ht="13.5" customHeight="1">
      <c r="B288" s="94"/>
    </row>
    <row r="289" spans="2:2" ht="13.5" customHeight="1">
      <c r="B289" s="94"/>
    </row>
    <row r="290" spans="2:2" ht="13.5" customHeight="1">
      <c r="B290" s="94"/>
    </row>
    <row r="291" spans="2:2" ht="13.5" customHeight="1">
      <c r="B291" s="94"/>
    </row>
    <row r="292" spans="2:2" ht="13.5" customHeight="1">
      <c r="B292" s="94"/>
    </row>
    <row r="293" spans="2:2" ht="13.5" customHeight="1">
      <c r="B293" s="94"/>
    </row>
    <row r="294" spans="2:2" ht="13.5" customHeight="1">
      <c r="B294" s="94"/>
    </row>
    <row r="295" spans="2:2" ht="13.5" customHeight="1">
      <c r="B295" s="94"/>
    </row>
    <row r="296" spans="2:2" ht="13.5" customHeight="1">
      <c r="B296" s="94"/>
    </row>
    <row r="297" spans="2:2" ht="13.5" customHeight="1">
      <c r="B297" s="94"/>
    </row>
    <row r="298" spans="2:2" ht="13.5" customHeight="1">
      <c r="B298" s="94"/>
    </row>
    <row r="299" spans="2:2" ht="13.5" customHeight="1">
      <c r="B299" s="94"/>
    </row>
    <row r="300" spans="2:2" ht="13.5" customHeight="1">
      <c r="B300" s="94"/>
    </row>
    <row r="301" spans="2:2" ht="13.5" customHeight="1">
      <c r="B301" s="94"/>
    </row>
    <row r="302" spans="2:2" ht="13.5" customHeight="1">
      <c r="B302" s="94"/>
    </row>
    <row r="303" spans="2:2" ht="13.5" customHeight="1">
      <c r="B303" s="94"/>
    </row>
    <row r="304" spans="2:2" ht="13.5" customHeight="1">
      <c r="B304" s="94"/>
    </row>
    <row r="305" spans="2:2" ht="13.5" customHeight="1">
      <c r="B305" s="94"/>
    </row>
    <row r="306" spans="2:2" ht="13.5" customHeight="1">
      <c r="B306" s="94"/>
    </row>
    <row r="307" spans="2:2" ht="13.5" customHeight="1">
      <c r="B307" s="94"/>
    </row>
    <row r="308" spans="2:2" ht="13.5" customHeight="1">
      <c r="B308" s="94"/>
    </row>
    <row r="309" spans="2:2" ht="13.5" customHeight="1">
      <c r="B309" s="94"/>
    </row>
    <row r="310" spans="2:2" ht="13.5" customHeight="1">
      <c r="B310" s="94"/>
    </row>
    <row r="311" spans="2:2" ht="13.5" customHeight="1">
      <c r="B311" s="94"/>
    </row>
    <row r="312" spans="2:2" ht="13.5" customHeight="1">
      <c r="B312" s="94"/>
    </row>
    <row r="313" spans="2:2" ht="13.5" customHeight="1">
      <c r="B313" s="94"/>
    </row>
    <row r="314" spans="2:2" ht="13.5" customHeight="1">
      <c r="B314" s="94"/>
    </row>
    <row r="315" spans="2:2" ht="13.5" customHeight="1">
      <c r="B315" s="94"/>
    </row>
    <row r="316" spans="2:2" ht="13.5" customHeight="1">
      <c r="B316" s="94"/>
    </row>
    <row r="317" spans="2:2" ht="13.5" customHeight="1">
      <c r="B317" s="94"/>
    </row>
    <row r="318" spans="2:2" ht="13.5" customHeight="1">
      <c r="B318" s="94"/>
    </row>
    <row r="319" spans="2:2" ht="13.5" customHeight="1">
      <c r="B319" s="94"/>
    </row>
    <row r="320" spans="2:2" ht="13.5" customHeight="1">
      <c r="B320" s="94"/>
    </row>
    <row r="321" spans="2:2" ht="13.5" customHeight="1">
      <c r="B321" s="94"/>
    </row>
    <row r="322" spans="2:2" ht="13.5" customHeight="1">
      <c r="B322" s="94"/>
    </row>
    <row r="323" spans="2:2" ht="13.5" customHeight="1">
      <c r="B323" s="94"/>
    </row>
    <row r="324" spans="2:2" ht="13.5" customHeight="1">
      <c r="B324" s="94"/>
    </row>
    <row r="325" spans="2:2" ht="13.5" customHeight="1">
      <c r="B325" s="94"/>
    </row>
    <row r="326" spans="2:2" ht="13.5" customHeight="1">
      <c r="B326" s="94"/>
    </row>
    <row r="327" spans="2:2" ht="13.5" customHeight="1">
      <c r="B327" s="94"/>
    </row>
    <row r="328" spans="2:2" ht="13.5" customHeight="1">
      <c r="B328" s="94"/>
    </row>
    <row r="329" spans="2:2" ht="13.5" customHeight="1">
      <c r="B329" s="94"/>
    </row>
    <row r="330" spans="2:2" ht="13.5" customHeight="1">
      <c r="B330" s="94"/>
    </row>
    <row r="331" spans="2:2" ht="13.5" customHeight="1">
      <c r="B331" s="94"/>
    </row>
    <row r="332" spans="2:2" ht="13.5" customHeight="1">
      <c r="B332" s="94"/>
    </row>
    <row r="333" spans="2:2" ht="13.5" customHeight="1">
      <c r="B333" s="94"/>
    </row>
    <row r="334" spans="2:2" ht="13.5" customHeight="1">
      <c r="B334" s="94"/>
    </row>
    <row r="335" spans="2:2" ht="13.5" customHeight="1">
      <c r="B335" s="94"/>
    </row>
    <row r="336" spans="2:2" ht="13.5" customHeight="1">
      <c r="B336" s="94"/>
    </row>
    <row r="337" spans="2:2" ht="13.5" customHeight="1">
      <c r="B337" s="94"/>
    </row>
    <row r="338" spans="2:2" ht="13.5" customHeight="1">
      <c r="B338" s="94"/>
    </row>
    <row r="339" spans="2:2" ht="13.5" customHeight="1">
      <c r="B339" s="94"/>
    </row>
    <row r="340" spans="2:2" ht="13.5" customHeight="1">
      <c r="B340" s="94"/>
    </row>
    <row r="341" spans="2:2" ht="13.5" customHeight="1">
      <c r="B341" s="94"/>
    </row>
    <row r="342" spans="2:2" ht="13.5" customHeight="1">
      <c r="B342" s="94"/>
    </row>
    <row r="343" spans="2:2" ht="13.5" customHeight="1">
      <c r="B343" s="94"/>
    </row>
    <row r="344" spans="2:2" ht="13.5" customHeight="1">
      <c r="B344" s="94"/>
    </row>
    <row r="345" spans="2:2" ht="13.5" customHeight="1">
      <c r="B345" s="94"/>
    </row>
    <row r="346" spans="2:2" ht="13.5" customHeight="1">
      <c r="B346" s="94"/>
    </row>
    <row r="347" spans="2:2" ht="13.5" customHeight="1">
      <c r="B347" s="94"/>
    </row>
    <row r="348" spans="2:2" ht="13.5" customHeight="1">
      <c r="B348" s="94"/>
    </row>
    <row r="349" spans="2:2" ht="13.5" customHeight="1">
      <c r="B349" s="94"/>
    </row>
    <row r="350" spans="2:2" ht="13.5" customHeight="1">
      <c r="B350" s="94"/>
    </row>
    <row r="351" spans="2:2" ht="13.5" customHeight="1">
      <c r="B351" s="94"/>
    </row>
    <row r="352" spans="2:2" ht="13.5" customHeight="1">
      <c r="B352" s="94"/>
    </row>
    <row r="353" spans="2:2" ht="13.5" customHeight="1">
      <c r="B353" s="94"/>
    </row>
    <row r="354" spans="2:2" ht="13.5" customHeight="1">
      <c r="B354" s="94"/>
    </row>
    <row r="355" spans="2:2" ht="13.5" customHeight="1">
      <c r="B355" s="94"/>
    </row>
    <row r="356" spans="2:2" ht="13.5" customHeight="1">
      <c r="B356" s="94"/>
    </row>
    <row r="357" spans="2:2" ht="13.5" customHeight="1">
      <c r="B357" s="94"/>
    </row>
    <row r="358" spans="2:2" ht="13.5" customHeight="1">
      <c r="B358" s="94"/>
    </row>
    <row r="359" spans="2:2" ht="13.5" customHeight="1">
      <c r="B359" s="94"/>
    </row>
    <row r="360" spans="2:2" ht="13.5" customHeight="1">
      <c r="B360" s="94"/>
    </row>
    <row r="361" spans="2:2" ht="13.5" customHeight="1">
      <c r="B361" s="94"/>
    </row>
    <row r="362" spans="2:2" ht="13.5" customHeight="1">
      <c r="B362" s="94"/>
    </row>
    <row r="363" spans="2:2" ht="13.5" customHeight="1">
      <c r="B363" s="94"/>
    </row>
    <row r="364" spans="2:2" ht="13.5" customHeight="1">
      <c r="B364" s="94"/>
    </row>
    <row r="365" spans="2:2" ht="13.5" customHeight="1">
      <c r="B365" s="94"/>
    </row>
    <row r="366" spans="2:2" ht="13.5" customHeight="1">
      <c r="B366" s="94"/>
    </row>
    <row r="367" spans="2:2" ht="13.5" customHeight="1">
      <c r="B367" s="94"/>
    </row>
    <row r="368" spans="2:2" ht="13.5" customHeight="1">
      <c r="B368" s="94"/>
    </row>
    <row r="369" spans="2:2" ht="13.5" customHeight="1">
      <c r="B369" s="94"/>
    </row>
    <row r="370" spans="2:2" ht="13.5" customHeight="1">
      <c r="B370" s="94"/>
    </row>
    <row r="371" spans="2:2" ht="13.5" customHeight="1">
      <c r="B371" s="94"/>
    </row>
    <row r="372" spans="2:2" ht="13.5" customHeight="1">
      <c r="B372" s="94"/>
    </row>
    <row r="373" spans="2:2" ht="13.5" customHeight="1">
      <c r="B373" s="94"/>
    </row>
    <row r="374" spans="2:2" ht="13.5" customHeight="1">
      <c r="B374" s="94"/>
    </row>
    <row r="375" spans="2:2" ht="13.5" customHeight="1">
      <c r="B375" s="94"/>
    </row>
    <row r="376" spans="2:2" ht="13.5" customHeight="1">
      <c r="B376" s="94"/>
    </row>
    <row r="377" spans="2:2" ht="13.5" customHeight="1">
      <c r="B377" s="94"/>
    </row>
    <row r="378" spans="2:2" ht="13.5" customHeight="1">
      <c r="B378" s="94"/>
    </row>
    <row r="379" spans="2:2" ht="13.5" customHeight="1">
      <c r="B379" s="94"/>
    </row>
    <row r="380" spans="2:2" ht="13.5" customHeight="1">
      <c r="B380" s="94"/>
    </row>
    <row r="381" spans="2:2" ht="13.5" customHeight="1">
      <c r="B381" s="94"/>
    </row>
    <row r="382" spans="2:2" ht="13.5" customHeight="1">
      <c r="B382" s="94"/>
    </row>
    <row r="383" spans="2:2" ht="13.5" customHeight="1">
      <c r="B383" s="94"/>
    </row>
    <row r="384" spans="2:2" ht="13.5" customHeight="1">
      <c r="B384" s="94"/>
    </row>
    <row r="385" spans="2:2" ht="13.5" customHeight="1">
      <c r="B385" s="94"/>
    </row>
    <row r="386" spans="2:2" ht="13.5" customHeight="1">
      <c r="B386" s="94"/>
    </row>
    <row r="387" spans="2:2" ht="13.5" customHeight="1">
      <c r="B387" s="94"/>
    </row>
    <row r="388" spans="2:2" ht="13.5" customHeight="1">
      <c r="B388" s="94"/>
    </row>
    <row r="389" spans="2:2" ht="13.5" customHeight="1">
      <c r="B389" s="94"/>
    </row>
    <row r="390" spans="2:2" ht="13.5" customHeight="1">
      <c r="B390" s="94"/>
    </row>
    <row r="391" spans="2:2" ht="13.5" customHeight="1">
      <c r="B391" s="94"/>
    </row>
    <row r="392" spans="2:2" ht="13.5" customHeight="1">
      <c r="B392" s="94"/>
    </row>
    <row r="393" spans="2:2" ht="13.5" customHeight="1">
      <c r="B393" s="94"/>
    </row>
    <row r="394" spans="2:2" ht="13.5" customHeight="1">
      <c r="B394" s="94"/>
    </row>
    <row r="395" spans="2:2" ht="13.5" customHeight="1">
      <c r="B395" s="94"/>
    </row>
    <row r="396" spans="2:2" ht="13.5" customHeight="1">
      <c r="B396" s="94"/>
    </row>
    <row r="397" spans="2:2" ht="13.5" customHeight="1">
      <c r="B397" s="94"/>
    </row>
    <row r="398" spans="2:2" ht="13.5" customHeight="1">
      <c r="B398" s="94"/>
    </row>
    <row r="399" spans="2:2" ht="13.5" customHeight="1">
      <c r="B399" s="94"/>
    </row>
    <row r="400" spans="2:2" ht="13.5" customHeight="1">
      <c r="B400" s="94"/>
    </row>
    <row r="401" spans="2:2" ht="13.5" customHeight="1">
      <c r="B401" s="94"/>
    </row>
    <row r="402" spans="2:2" ht="13.5" customHeight="1">
      <c r="B402" s="94"/>
    </row>
    <row r="403" spans="2:2" ht="13.5" customHeight="1">
      <c r="B403" s="94"/>
    </row>
    <row r="404" spans="2:2" ht="13.5" customHeight="1">
      <c r="B404" s="94"/>
    </row>
    <row r="405" spans="2:2" ht="13.5" customHeight="1">
      <c r="B405" s="94"/>
    </row>
    <row r="406" spans="2:2" ht="13.5" customHeight="1">
      <c r="B406" s="94"/>
    </row>
    <row r="407" spans="2:2" ht="13.5" customHeight="1">
      <c r="B407" s="94"/>
    </row>
    <row r="408" spans="2:2" ht="13.5" customHeight="1">
      <c r="B408" s="94"/>
    </row>
    <row r="409" spans="2:2" ht="13.5" customHeight="1">
      <c r="B409" s="94"/>
    </row>
    <row r="410" spans="2:2" ht="13.5" customHeight="1">
      <c r="B410" s="94"/>
    </row>
    <row r="411" spans="2:2" ht="13.5" customHeight="1">
      <c r="B411" s="94"/>
    </row>
    <row r="412" spans="2:2" ht="13.5" customHeight="1">
      <c r="B412" s="94"/>
    </row>
    <row r="413" spans="2:2" ht="13.5" customHeight="1">
      <c r="B413" s="94"/>
    </row>
    <row r="414" spans="2:2" ht="13.5" customHeight="1">
      <c r="B414" s="94"/>
    </row>
    <row r="415" spans="2:2" ht="13.5" customHeight="1">
      <c r="B415" s="94"/>
    </row>
    <row r="416" spans="2:2" ht="13.5" customHeight="1">
      <c r="B416" s="94"/>
    </row>
    <row r="417" spans="2:2" ht="13.5" customHeight="1">
      <c r="B417" s="94"/>
    </row>
    <row r="418" spans="2:2" ht="13.5" customHeight="1">
      <c r="B418" s="94"/>
    </row>
    <row r="419" spans="2:2" ht="13.5" customHeight="1">
      <c r="B419" s="94"/>
    </row>
    <row r="420" spans="2:2" ht="13.5" customHeight="1">
      <c r="B420" s="94"/>
    </row>
    <row r="421" spans="2:2" ht="13.5" customHeight="1">
      <c r="B421" s="94"/>
    </row>
    <row r="422" spans="2:2" ht="13.5" customHeight="1">
      <c r="B422" s="94"/>
    </row>
    <row r="423" spans="2:2" ht="13.5" customHeight="1">
      <c r="B423" s="94"/>
    </row>
    <row r="424" spans="2:2" ht="13.5" customHeight="1">
      <c r="B424" s="94"/>
    </row>
    <row r="425" spans="2:2" ht="13.5" customHeight="1">
      <c r="B425" s="94"/>
    </row>
    <row r="426" spans="2:2" ht="13.5" customHeight="1">
      <c r="B426" s="94"/>
    </row>
    <row r="427" spans="2:2" ht="13.5" customHeight="1">
      <c r="B427" s="94"/>
    </row>
    <row r="428" spans="2:2" ht="13.5" customHeight="1">
      <c r="B428" s="94"/>
    </row>
    <row r="429" spans="2:2" ht="13.5" customHeight="1">
      <c r="B429" s="94"/>
    </row>
    <row r="430" spans="2:2" ht="13.5" customHeight="1">
      <c r="B430" s="94"/>
    </row>
    <row r="431" spans="2:2" ht="13.5" customHeight="1">
      <c r="B431" s="94"/>
    </row>
    <row r="432" spans="2:2" ht="13.5" customHeight="1">
      <c r="B432" s="94"/>
    </row>
    <row r="433" spans="2:2" ht="13.5" customHeight="1">
      <c r="B433" s="94"/>
    </row>
    <row r="434" spans="2:2" ht="13.5" customHeight="1">
      <c r="B434" s="94"/>
    </row>
    <row r="435" spans="2:2" ht="13.5" customHeight="1">
      <c r="B435" s="94"/>
    </row>
    <row r="436" spans="2:2" ht="13.5" customHeight="1">
      <c r="B436" s="94"/>
    </row>
    <row r="437" spans="2:2" ht="13.5" customHeight="1">
      <c r="B437" s="94"/>
    </row>
    <row r="438" spans="2:2" ht="13.5" customHeight="1">
      <c r="B438" s="94"/>
    </row>
    <row r="439" spans="2:2" ht="13.5" customHeight="1">
      <c r="B439" s="94"/>
    </row>
    <row r="440" spans="2:2" ht="13.5" customHeight="1">
      <c r="B440" s="94"/>
    </row>
    <row r="441" spans="2:2" ht="13.5" customHeight="1">
      <c r="B441" s="94"/>
    </row>
    <row r="442" spans="2:2" ht="13.5" customHeight="1">
      <c r="B442" s="94"/>
    </row>
    <row r="443" spans="2:2" ht="13.5" customHeight="1">
      <c r="B443" s="94"/>
    </row>
    <row r="444" spans="2:2" ht="13.5" customHeight="1">
      <c r="B444" s="94"/>
    </row>
    <row r="445" spans="2:2" ht="13.5" customHeight="1">
      <c r="B445" s="94"/>
    </row>
    <row r="446" spans="2:2" ht="13.5" customHeight="1">
      <c r="B446" s="94"/>
    </row>
    <row r="447" spans="2:2" ht="13.5" customHeight="1">
      <c r="B447" s="94"/>
    </row>
    <row r="448" spans="2:2" ht="13.5" customHeight="1">
      <c r="B448" s="94"/>
    </row>
    <row r="449" spans="2:2" ht="13.5" customHeight="1">
      <c r="B449" s="94"/>
    </row>
    <row r="450" spans="2:2" ht="13.5" customHeight="1">
      <c r="B450" s="94"/>
    </row>
    <row r="451" spans="2:2" ht="13.5" customHeight="1">
      <c r="B451" s="94"/>
    </row>
    <row r="452" spans="2:2" ht="13.5" customHeight="1">
      <c r="B452" s="94"/>
    </row>
    <row r="453" spans="2:2" ht="13.5" customHeight="1">
      <c r="B453" s="94"/>
    </row>
    <row r="454" spans="2:2" ht="13.5" customHeight="1">
      <c r="B454" s="94"/>
    </row>
    <row r="455" spans="2:2" ht="13.5" customHeight="1">
      <c r="B455" s="94"/>
    </row>
    <row r="456" spans="2:2" ht="13.5" customHeight="1">
      <c r="B456" s="94"/>
    </row>
    <row r="457" spans="2:2" ht="13.5" customHeight="1">
      <c r="B457" s="94"/>
    </row>
    <row r="458" spans="2:2" ht="13.5" customHeight="1">
      <c r="B458" s="94"/>
    </row>
    <row r="459" spans="2:2" ht="13.5" customHeight="1">
      <c r="B459" s="94"/>
    </row>
    <row r="460" spans="2:2" ht="13.5" customHeight="1">
      <c r="B460" s="94"/>
    </row>
    <row r="461" spans="2:2" ht="13.5" customHeight="1">
      <c r="B461" s="94"/>
    </row>
    <row r="462" spans="2:2" ht="13.5" customHeight="1">
      <c r="B462" s="94"/>
    </row>
    <row r="463" spans="2:2" ht="13.5" customHeight="1">
      <c r="B463" s="94"/>
    </row>
    <row r="464" spans="2:2" ht="13.5" customHeight="1">
      <c r="B464" s="94"/>
    </row>
    <row r="465" spans="2:2" ht="13.5" customHeight="1">
      <c r="B465" s="94"/>
    </row>
    <row r="466" spans="2:2" ht="13.5" customHeight="1">
      <c r="B466" s="94"/>
    </row>
    <row r="467" spans="2:2" ht="13.5" customHeight="1">
      <c r="B467" s="94"/>
    </row>
    <row r="468" spans="2:2" ht="13.5" customHeight="1">
      <c r="B468" s="94"/>
    </row>
    <row r="469" spans="2:2" ht="13.5" customHeight="1">
      <c r="B469" s="94"/>
    </row>
    <row r="470" spans="2:2" ht="13.5" customHeight="1">
      <c r="B470" s="94"/>
    </row>
    <row r="471" spans="2:2" ht="13.5" customHeight="1">
      <c r="B471" s="94"/>
    </row>
    <row r="472" spans="2:2" ht="13.5" customHeight="1">
      <c r="B472" s="94"/>
    </row>
    <row r="473" spans="2:2" ht="13.5" customHeight="1">
      <c r="B473" s="94"/>
    </row>
    <row r="474" spans="2:2" ht="13.5" customHeight="1">
      <c r="B474" s="94"/>
    </row>
    <row r="475" spans="2:2" ht="13.5" customHeight="1">
      <c r="B475" s="94"/>
    </row>
    <row r="476" spans="2:2" ht="13.5" customHeight="1">
      <c r="B476" s="94"/>
    </row>
    <row r="477" spans="2:2" ht="13.5" customHeight="1">
      <c r="B477" s="94"/>
    </row>
    <row r="478" spans="2:2" ht="13.5" customHeight="1">
      <c r="B478" s="94"/>
    </row>
    <row r="479" spans="2:2" ht="13.5" customHeight="1">
      <c r="B479" s="94"/>
    </row>
    <row r="480" spans="2:2" ht="13.5" customHeight="1">
      <c r="B480" s="94"/>
    </row>
    <row r="481" spans="2:2" ht="13.5" customHeight="1">
      <c r="B481" s="94"/>
    </row>
    <row r="482" spans="2:2" ht="13.5" customHeight="1">
      <c r="B482" s="94"/>
    </row>
    <row r="483" spans="2:2" ht="13.5" customHeight="1">
      <c r="B483" s="94"/>
    </row>
    <row r="484" spans="2:2" ht="13.5" customHeight="1">
      <c r="B484" s="94"/>
    </row>
    <row r="485" spans="2:2" ht="13.5" customHeight="1">
      <c r="B485" s="94"/>
    </row>
    <row r="486" spans="2:2" ht="13.5" customHeight="1">
      <c r="B486" s="94"/>
    </row>
    <row r="487" spans="2:2" ht="13.5" customHeight="1">
      <c r="B487" s="94"/>
    </row>
    <row r="488" spans="2:2" ht="13.5" customHeight="1">
      <c r="B488" s="94"/>
    </row>
    <row r="489" spans="2:2" ht="13.5" customHeight="1">
      <c r="B489" s="94"/>
    </row>
    <row r="490" spans="2:2" ht="13.5" customHeight="1">
      <c r="B490" s="94"/>
    </row>
    <row r="491" spans="2:2" ht="13.5" customHeight="1">
      <c r="B491" s="94"/>
    </row>
    <row r="492" spans="2:2" ht="13.5" customHeight="1">
      <c r="B492" s="94"/>
    </row>
    <row r="493" spans="2:2" ht="13.5" customHeight="1">
      <c r="B493" s="94"/>
    </row>
    <row r="494" spans="2:2" ht="13.5" customHeight="1">
      <c r="B494" s="94"/>
    </row>
    <row r="495" spans="2:2" ht="13.5" customHeight="1">
      <c r="B495" s="94"/>
    </row>
    <row r="496" spans="2:2" ht="13.5" customHeight="1">
      <c r="B496" s="94"/>
    </row>
    <row r="497" spans="2:2" ht="13.5" customHeight="1">
      <c r="B497" s="94"/>
    </row>
    <row r="498" spans="2:2" ht="13.5" customHeight="1">
      <c r="B498" s="94"/>
    </row>
    <row r="499" spans="2:2" ht="13.5" customHeight="1">
      <c r="B499" s="94"/>
    </row>
    <row r="500" spans="2:2" ht="13.5" customHeight="1">
      <c r="B500" s="94"/>
    </row>
    <row r="501" spans="2:2" ht="13.5" customHeight="1">
      <c r="B501" s="94"/>
    </row>
    <row r="502" spans="2:2" ht="13.5" customHeight="1">
      <c r="B502" s="94"/>
    </row>
    <row r="503" spans="2:2" ht="13.5" customHeight="1">
      <c r="B503" s="94"/>
    </row>
    <row r="504" spans="2:2" ht="13.5" customHeight="1">
      <c r="B504" s="94"/>
    </row>
    <row r="505" spans="2:2" ht="13.5" customHeight="1">
      <c r="B505" s="94"/>
    </row>
    <row r="506" spans="2:2" ht="13.5" customHeight="1">
      <c r="B506" s="94"/>
    </row>
    <row r="507" spans="2:2" ht="13.5" customHeight="1">
      <c r="B507" s="94"/>
    </row>
    <row r="508" spans="2:2" ht="13.5" customHeight="1">
      <c r="B508" s="94"/>
    </row>
    <row r="509" spans="2:2" ht="13.5" customHeight="1">
      <c r="B509" s="94"/>
    </row>
    <row r="510" spans="2:2" ht="13.5" customHeight="1">
      <c r="B510" s="94"/>
    </row>
    <row r="511" spans="2:2" ht="13.5" customHeight="1">
      <c r="B511" s="94"/>
    </row>
    <row r="512" spans="2:2" ht="13.5" customHeight="1">
      <c r="B512" s="94"/>
    </row>
    <row r="513" spans="2:2" ht="13.5" customHeight="1">
      <c r="B513" s="94"/>
    </row>
    <row r="514" spans="2:2" ht="13.5" customHeight="1">
      <c r="B514" s="94"/>
    </row>
    <row r="515" spans="2:2" ht="13.5" customHeight="1">
      <c r="B515" s="94"/>
    </row>
    <row r="516" spans="2:2" ht="13.5" customHeight="1">
      <c r="B516" s="94"/>
    </row>
    <row r="517" spans="2:2" ht="13.5" customHeight="1">
      <c r="B517" s="94"/>
    </row>
    <row r="518" spans="2:2" ht="13.5" customHeight="1">
      <c r="B518" s="94"/>
    </row>
    <row r="519" spans="2:2" ht="13.5" customHeight="1">
      <c r="B519" s="94"/>
    </row>
    <row r="520" spans="2:2" ht="13.5" customHeight="1">
      <c r="B520" s="94"/>
    </row>
    <row r="521" spans="2:2" ht="13.5" customHeight="1">
      <c r="B521" s="94"/>
    </row>
    <row r="522" spans="2:2" ht="13.5" customHeight="1">
      <c r="B522" s="94"/>
    </row>
    <row r="523" spans="2:2" ht="13.5" customHeight="1">
      <c r="B523" s="94"/>
    </row>
    <row r="524" spans="2:2" ht="13.5" customHeight="1">
      <c r="B524" s="94"/>
    </row>
    <row r="525" spans="2:2" ht="13.5" customHeight="1">
      <c r="B525" s="94"/>
    </row>
    <row r="526" spans="2:2" ht="13.5" customHeight="1">
      <c r="B526" s="94"/>
    </row>
    <row r="527" spans="2:2" ht="13.5" customHeight="1">
      <c r="B527" s="94"/>
    </row>
    <row r="528" spans="2:2" ht="13.5" customHeight="1">
      <c r="B528" s="94"/>
    </row>
    <row r="529" spans="2:2" ht="13.5" customHeight="1">
      <c r="B529" s="94"/>
    </row>
    <row r="530" spans="2:2" ht="13.5" customHeight="1">
      <c r="B530" s="94"/>
    </row>
    <row r="531" spans="2:2" ht="13.5" customHeight="1">
      <c r="B531" s="94"/>
    </row>
    <row r="532" spans="2:2" ht="13.5" customHeight="1">
      <c r="B532" s="94"/>
    </row>
    <row r="533" spans="2:2" ht="13.5" customHeight="1">
      <c r="B533" s="94"/>
    </row>
    <row r="534" spans="2:2" ht="13.5" customHeight="1">
      <c r="B534" s="94"/>
    </row>
    <row r="535" spans="2:2" ht="13.5" customHeight="1">
      <c r="B535" s="94"/>
    </row>
    <row r="536" spans="2:2" ht="13.5" customHeight="1">
      <c r="B536" s="94"/>
    </row>
    <row r="537" spans="2:2" ht="13.5" customHeight="1">
      <c r="B537" s="94"/>
    </row>
    <row r="538" spans="2:2" ht="13.5" customHeight="1">
      <c r="B538" s="94"/>
    </row>
    <row r="539" spans="2:2" ht="13.5" customHeight="1">
      <c r="B539" s="94"/>
    </row>
    <row r="540" spans="2:2" ht="13.5" customHeight="1">
      <c r="B540" s="94"/>
    </row>
    <row r="541" spans="2:2" ht="13.5" customHeight="1">
      <c r="B541" s="94"/>
    </row>
    <row r="542" spans="2:2" ht="13.5" customHeight="1">
      <c r="B542" s="94"/>
    </row>
    <row r="543" spans="2:2" ht="13.5" customHeight="1">
      <c r="B543" s="94"/>
    </row>
    <row r="544" spans="2:2" ht="13.5" customHeight="1">
      <c r="B544" s="94"/>
    </row>
    <row r="545" spans="2:2" ht="13.5" customHeight="1">
      <c r="B545" s="94"/>
    </row>
    <row r="546" spans="2:2" ht="13.5" customHeight="1">
      <c r="B546" s="94"/>
    </row>
    <row r="547" spans="2:2" ht="13.5" customHeight="1">
      <c r="B547" s="94"/>
    </row>
    <row r="548" spans="2:2" ht="13.5" customHeight="1">
      <c r="B548" s="94"/>
    </row>
    <row r="549" spans="2:2" ht="13.5" customHeight="1">
      <c r="B549" s="94"/>
    </row>
    <row r="550" spans="2:2" ht="13.5" customHeight="1">
      <c r="B550" s="94"/>
    </row>
    <row r="551" spans="2:2" ht="13.5" customHeight="1">
      <c r="B551" s="94"/>
    </row>
    <row r="552" spans="2:2" ht="13.5" customHeight="1">
      <c r="B552" s="94"/>
    </row>
    <row r="553" spans="2:2" ht="13.5" customHeight="1">
      <c r="B553" s="94"/>
    </row>
    <row r="554" spans="2:2" ht="13.5" customHeight="1">
      <c r="B554" s="94"/>
    </row>
    <row r="555" spans="2:2" ht="13.5" customHeight="1">
      <c r="B555" s="94"/>
    </row>
    <row r="556" spans="2:2" ht="13.5" customHeight="1">
      <c r="B556" s="94"/>
    </row>
    <row r="557" spans="2:2" ht="13.5" customHeight="1">
      <c r="B557" s="94"/>
    </row>
    <row r="558" spans="2:2" ht="13.5" customHeight="1">
      <c r="B558" s="94"/>
    </row>
    <row r="559" spans="2:2" ht="13.5" customHeight="1">
      <c r="B559" s="94"/>
    </row>
    <row r="560" spans="2:2" ht="13.5" customHeight="1">
      <c r="B560" s="94"/>
    </row>
    <row r="561" spans="2:2" ht="13.5" customHeight="1">
      <c r="B561" s="94"/>
    </row>
    <row r="562" spans="2:2" ht="13.5" customHeight="1">
      <c r="B562" s="94"/>
    </row>
    <row r="563" spans="2:2" ht="13.5" customHeight="1">
      <c r="B563" s="94"/>
    </row>
    <row r="564" spans="2:2" ht="13.5" customHeight="1">
      <c r="B564" s="94"/>
    </row>
    <row r="565" spans="2:2" ht="13.5" customHeight="1">
      <c r="B565" s="94"/>
    </row>
    <row r="566" spans="2:2" ht="13.5" customHeight="1">
      <c r="B566" s="94"/>
    </row>
    <row r="567" spans="2:2" ht="13.5" customHeight="1">
      <c r="B567" s="94"/>
    </row>
    <row r="568" spans="2:2" ht="13.5" customHeight="1">
      <c r="B568" s="94"/>
    </row>
    <row r="569" spans="2:2" ht="13.5" customHeight="1">
      <c r="B569" s="94"/>
    </row>
    <row r="570" spans="2:2" ht="13.5" customHeight="1">
      <c r="B570" s="94"/>
    </row>
    <row r="571" spans="2:2" ht="13.5" customHeight="1">
      <c r="B571" s="94"/>
    </row>
    <row r="572" spans="2:2" ht="13.5" customHeight="1">
      <c r="B572" s="94"/>
    </row>
    <row r="573" spans="2:2" ht="13.5" customHeight="1">
      <c r="B573" s="94"/>
    </row>
    <row r="574" spans="2:2" ht="13.5" customHeight="1">
      <c r="B574" s="94"/>
    </row>
    <row r="575" spans="2:2" ht="13.5" customHeight="1">
      <c r="B575" s="94"/>
    </row>
    <row r="576" spans="2:2" ht="13.5" customHeight="1">
      <c r="B576" s="94"/>
    </row>
    <row r="577" spans="2:2" ht="13.5" customHeight="1">
      <c r="B577" s="94"/>
    </row>
    <row r="578" spans="2:2" ht="13.5" customHeight="1">
      <c r="B578" s="94"/>
    </row>
    <row r="579" spans="2:2" ht="13.5" customHeight="1">
      <c r="B579" s="94"/>
    </row>
    <row r="580" spans="2:2" ht="13.5" customHeight="1">
      <c r="B580" s="94"/>
    </row>
    <row r="581" spans="2:2" ht="13.5" customHeight="1">
      <c r="B581" s="94"/>
    </row>
    <row r="582" spans="2:2" ht="13.5" customHeight="1">
      <c r="B582" s="94"/>
    </row>
    <row r="583" spans="2:2" ht="13.5" customHeight="1">
      <c r="B583" s="94"/>
    </row>
    <row r="584" spans="2:2" ht="13.5" customHeight="1">
      <c r="B584" s="94"/>
    </row>
    <row r="585" spans="2:2" ht="13.5" customHeight="1">
      <c r="B585" s="94"/>
    </row>
    <row r="586" spans="2:2" ht="13.5" customHeight="1">
      <c r="B586" s="94"/>
    </row>
    <row r="587" spans="2:2" ht="13.5" customHeight="1">
      <c r="B587" s="94"/>
    </row>
    <row r="588" spans="2:2" ht="13.5" customHeight="1">
      <c r="B588" s="94"/>
    </row>
    <row r="589" spans="2:2" ht="13.5" customHeight="1">
      <c r="B589" s="94"/>
    </row>
    <row r="590" spans="2:2" ht="13.5" customHeight="1">
      <c r="B590" s="94"/>
    </row>
    <row r="591" spans="2:2" ht="13.5" customHeight="1">
      <c r="B591" s="94"/>
    </row>
    <row r="592" spans="2:2" ht="13.5" customHeight="1">
      <c r="B592" s="94"/>
    </row>
    <row r="593" spans="2:2" ht="13.5" customHeight="1">
      <c r="B593" s="94"/>
    </row>
    <row r="594" spans="2:2" ht="13.5" customHeight="1">
      <c r="B594" s="94"/>
    </row>
    <row r="595" spans="2:2" ht="13.5" customHeight="1">
      <c r="B595" s="94"/>
    </row>
    <row r="596" spans="2:2" ht="13.5" customHeight="1">
      <c r="B596" s="94"/>
    </row>
    <row r="597" spans="2:2" ht="13.5" customHeight="1">
      <c r="B597" s="94"/>
    </row>
    <row r="598" spans="2:2" ht="13.5" customHeight="1">
      <c r="B598" s="94"/>
    </row>
    <row r="599" spans="2:2" ht="13.5" customHeight="1">
      <c r="B599" s="94"/>
    </row>
    <row r="600" spans="2:2" ht="13.5" customHeight="1">
      <c r="B600" s="94"/>
    </row>
    <row r="601" spans="2:2" ht="13.5" customHeight="1">
      <c r="B601" s="94"/>
    </row>
    <row r="602" spans="2:2" ht="13.5" customHeight="1">
      <c r="B602" s="94"/>
    </row>
    <row r="603" spans="2:2" ht="13.5" customHeight="1">
      <c r="B603" s="94"/>
    </row>
    <row r="604" spans="2:2" ht="13.5" customHeight="1">
      <c r="B604" s="94"/>
    </row>
    <row r="605" spans="2:2" ht="13.5" customHeight="1">
      <c r="B605" s="94"/>
    </row>
    <row r="606" spans="2:2" ht="13.5" customHeight="1">
      <c r="B606" s="94"/>
    </row>
    <row r="607" spans="2:2" ht="13.5" customHeight="1">
      <c r="B607" s="94"/>
    </row>
    <row r="608" spans="2:2" ht="13.5" customHeight="1">
      <c r="B608" s="94"/>
    </row>
    <row r="609" spans="2:2" ht="13.5" customHeight="1">
      <c r="B609" s="94"/>
    </row>
    <row r="610" spans="2:2" ht="13.5" customHeight="1">
      <c r="B610" s="94"/>
    </row>
    <row r="611" spans="2:2" ht="13.5" customHeight="1">
      <c r="B611" s="94"/>
    </row>
    <row r="612" spans="2:2" ht="13.5" customHeight="1">
      <c r="B612" s="94"/>
    </row>
    <row r="613" spans="2:2" ht="13.5" customHeight="1">
      <c r="B613" s="94"/>
    </row>
    <row r="614" spans="2:2" ht="13.5" customHeight="1">
      <c r="B614" s="94"/>
    </row>
    <row r="615" spans="2:2" ht="13.5" customHeight="1">
      <c r="B615" s="94"/>
    </row>
    <row r="616" spans="2:2" ht="13.5" customHeight="1">
      <c r="B616" s="94"/>
    </row>
    <row r="617" spans="2:2" ht="13.5" customHeight="1">
      <c r="B617" s="94"/>
    </row>
    <row r="618" spans="2:2" ht="13.5" customHeight="1">
      <c r="B618" s="94"/>
    </row>
    <row r="619" spans="2:2" ht="13.5" customHeight="1">
      <c r="B619" s="94"/>
    </row>
    <row r="620" spans="2:2" ht="13.5" customHeight="1">
      <c r="B620" s="94"/>
    </row>
    <row r="621" spans="2:2" ht="13.5" customHeight="1">
      <c r="B621" s="94"/>
    </row>
    <row r="622" spans="2:2" ht="13.5" customHeight="1">
      <c r="B622" s="94"/>
    </row>
    <row r="623" spans="2:2" ht="13.5" customHeight="1">
      <c r="B623" s="94"/>
    </row>
    <row r="624" spans="2:2" ht="13.5" customHeight="1">
      <c r="B624" s="94"/>
    </row>
    <row r="625" spans="2:2" ht="13.5" customHeight="1">
      <c r="B625" s="94"/>
    </row>
    <row r="626" spans="2:2" ht="13.5" customHeight="1">
      <c r="B626" s="94"/>
    </row>
    <row r="627" spans="2:2" ht="13.5" customHeight="1">
      <c r="B627" s="94"/>
    </row>
    <row r="628" spans="2:2" ht="13.5" customHeight="1">
      <c r="B628" s="94"/>
    </row>
    <row r="629" spans="2:2" ht="13.5" customHeight="1">
      <c r="B629" s="94"/>
    </row>
    <row r="630" spans="2:2" ht="13.5" customHeight="1">
      <c r="B630" s="94"/>
    </row>
    <row r="631" spans="2:2" ht="13.5" customHeight="1">
      <c r="B631" s="94"/>
    </row>
    <row r="632" spans="2:2" ht="13.5" customHeight="1">
      <c r="B632" s="94"/>
    </row>
    <row r="633" spans="2:2" ht="13.5" customHeight="1">
      <c r="B633" s="94"/>
    </row>
    <row r="634" spans="2:2" ht="13.5" customHeight="1">
      <c r="B634" s="94"/>
    </row>
    <row r="635" spans="2:2" ht="13.5" customHeight="1">
      <c r="B635" s="94"/>
    </row>
    <row r="636" spans="2:2" ht="13.5" customHeight="1">
      <c r="B636" s="94"/>
    </row>
    <row r="637" spans="2:2" ht="13.5" customHeight="1">
      <c r="B637" s="94"/>
    </row>
    <row r="638" spans="2:2" ht="13.5" customHeight="1">
      <c r="B638" s="94"/>
    </row>
    <row r="639" spans="2:2" ht="13.5" customHeight="1">
      <c r="B639" s="94"/>
    </row>
    <row r="640" spans="2:2" ht="13.5" customHeight="1">
      <c r="B640" s="94"/>
    </row>
    <row r="641" spans="2:2" ht="13.5" customHeight="1">
      <c r="B641" s="94"/>
    </row>
    <row r="642" spans="2:2" ht="13.5" customHeight="1">
      <c r="B642" s="94"/>
    </row>
    <row r="643" spans="2:2" ht="13.5" customHeight="1">
      <c r="B643" s="94"/>
    </row>
    <row r="644" spans="2:2" ht="13.5" customHeight="1">
      <c r="B644" s="94"/>
    </row>
    <row r="645" spans="2:2" ht="13.5" customHeight="1">
      <c r="B645" s="94"/>
    </row>
    <row r="646" spans="2:2" ht="13.5" customHeight="1">
      <c r="B646" s="94"/>
    </row>
    <row r="647" spans="2:2" ht="13.5" customHeight="1">
      <c r="B647" s="94"/>
    </row>
    <row r="648" spans="2:2" ht="13.5" customHeight="1">
      <c r="B648" s="94"/>
    </row>
    <row r="649" spans="2:2" ht="13.5" customHeight="1">
      <c r="B649" s="94"/>
    </row>
    <row r="650" spans="2:2" ht="13.5" customHeight="1">
      <c r="B650" s="94"/>
    </row>
    <row r="651" spans="2:2" ht="13.5" customHeight="1">
      <c r="B651" s="94"/>
    </row>
    <row r="652" spans="2:2" ht="13.5" customHeight="1">
      <c r="B652" s="94"/>
    </row>
    <row r="653" spans="2:2" ht="13.5" customHeight="1">
      <c r="B653" s="94"/>
    </row>
    <row r="654" spans="2:2" ht="13.5" customHeight="1">
      <c r="B654" s="94"/>
    </row>
    <row r="655" spans="2:2" ht="13.5" customHeight="1">
      <c r="B655" s="94"/>
    </row>
    <row r="656" spans="2:2" ht="13.5" customHeight="1">
      <c r="B656" s="94"/>
    </row>
    <row r="657" spans="2:2" ht="13.5" customHeight="1">
      <c r="B657" s="94"/>
    </row>
    <row r="658" spans="2:2" ht="13.5" customHeight="1">
      <c r="B658" s="94"/>
    </row>
    <row r="659" spans="2:2" ht="13.5" customHeight="1">
      <c r="B659" s="94"/>
    </row>
    <row r="660" spans="2:2" ht="13.5" customHeight="1">
      <c r="B660" s="94"/>
    </row>
    <row r="661" spans="2:2" ht="13.5" customHeight="1">
      <c r="B661" s="94"/>
    </row>
    <row r="662" spans="2:2" ht="13.5" customHeight="1">
      <c r="B662" s="94"/>
    </row>
    <row r="663" spans="2:2" ht="13.5" customHeight="1">
      <c r="B663" s="94"/>
    </row>
    <row r="664" spans="2:2" ht="13.5" customHeight="1">
      <c r="B664" s="94"/>
    </row>
    <row r="665" spans="2:2" ht="13.5" customHeight="1">
      <c r="B665" s="94"/>
    </row>
    <row r="666" spans="2:2" ht="13.5" customHeight="1">
      <c r="B666" s="94"/>
    </row>
    <row r="667" spans="2:2" ht="13.5" customHeight="1">
      <c r="B667" s="94"/>
    </row>
    <row r="668" spans="2:2" ht="13.5" customHeight="1">
      <c r="B668" s="94"/>
    </row>
    <row r="669" spans="2:2" ht="13.5" customHeight="1">
      <c r="B669" s="94"/>
    </row>
    <row r="670" spans="2:2" ht="13.5" customHeight="1">
      <c r="B670" s="94"/>
    </row>
    <row r="671" spans="2:2" ht="13.5" customHeight="1">
      <c r="B671" s="94"/>
    </row>
    <row r="672" spans="2:2" ht="13.5" customHeight="1">
      <c r="B672" s="94"/>
    </row>
    <row r="673" spans="2:2" ht="13.5" customHeight="1">
      <c r="B673" s="94"/>
    </row>
    <row r="674" spans="2:2" ht="13.5" customHeight="1">
      <c r="B674" s="94"/>
    </row>
    <row r="675" spans="2:2" ht="13.5" customHeight="1">
      <c r="B675" s="94"/>
    </row>
    <row r="676" spans="2:2" ht="13.5" customHeight="1">
      <c r="B676" s="94"/>
    </row>
    <row r="677" spans="2:2" ht="13.5" customHeight="1">
      <c r="B677" s="94"/>
    </row>
    <row r="678" spans="2:2" ht="13.5" customHeight="1">
      <c r="B678" s="94"/>
    </row>
    <row r="679" spans="2:2" ht="13.5" customHeight="1">
      <c r="B679" s="94"/>
    </row>
    <row r="680" spans="2:2" ht="13.5" customHeight="1">
      <c r="B680" s="94"/>
    </row>
    <row r="681" spans="2:2" ht="13.5" customHeight="1">
      <c r="B681" s="94"/>
    </row>
    <row r="682" spans="2:2" ht="13.5" customHeight="1">
      <c r="B682" s="94"/>
    </row>
    <row r="683" spans="2:2" ht="13.5" customHeight="1">
      <c r="B683" s="94"/>
    </row>
    <row r="684" spans="2:2" ht="13.5" customHeight="1">
      <c r="B684" s="94"/>
    </row>
    <row r="685" spans="2:2" ht="13.5" customHeight="1">
      <c r="B685" s="94"/>
    </row>
    <row r="686" spans="2:2" ht="13.5" customHeight="1">
      <c r="B686" s="94"/>
    </row>
    <row r="687" spans="2:2" ht="13.5" customHeight="1">
      <c r="B687" s="94"/>
    </row>
    <row r="688" spans="2:2" ht="13.5" customHeight="1">
      <c r="B688" s="94"/>
    </row>
    <row r="689" spans="2:2" ht="13.5" customHeight="1">
      <c r="B689" s="94"/>
    </row>
    <row r="690" spans="2:2" ht="13.5" customHeight="1">
      <c r="B690" s="94"/>
    </row>
    <row r="691" spans="2:2" ht="13.5" customHeight="1">
      <c r="B691" s="94"/>
    </row>
    <row r="692" spans="2:2" ht="13.5" customHeight="1">
      <c r="B692" s="94"/>
    </row>
    <row r="693" spans="2:2" ht="13.5" customHeight="1">
      <c r="B693" s="94"/>
    </row>
    <row r="694" spans="2:2" ht="13.5" customHeight="1">
      <c r="B694" s="94"/>
    </row>
    <row r="695" spans="2:2" ht="13.5" customHeight="1">
      <c r="B695" s="94"/>
    </row>
    <row r="696" spans="2:2" ht="13.5" customHeight="1">
      <c r="B696" s="94"/>
    </row>
    <row r="697" spans="2:2" ht="13.5" customHeight="1">
      <c r="B697" s="94"/>
    </row>
    <row r="698" spans="2:2" ht="13.5" customHeight="1">
      <c r="B698" s="94"/>
    </row>
    <row r="699" spans="2:2" ht="13.5" customHeight="1">
      <c r="B699" s="94"/>
    </row>
    <row r="700" spans="2:2" ht="13.5" customHeight="1">
      <c r="B700" s="94"/>
    </row>
    <row r="701" spans="2:2" ht="13.5" customHeight="1">
      <c r="B701" s="94"/>
    </row>
    <row r="702" spans="2:2" ht="13.5" customHeight="1">
      <c r="B702" s="94"/>
    </row>
    <row r="703" spans="2:2" ht="13.5" customHeight="1">
      <c r="B703" s="94"/>
    </row>
    <row r="704" spans="2:2" ht="13.5" customHeight="1">
      <c r="B704" s="94"/>
    </row>
    <row r="705" spans="2:2" ht="13.5" customHeight="1">
      <c r="B705" s="94"/>
    </row>
    <row r="706" spans="2:2" ht="13.5" customHeight="1">
      <c r="B706" s="94"/>
    </row>
    <row r="707" spans="2:2" ht="13.5" customHeight="1">
      <c r="B707" s="94"/>
    </row>
    <row r="708" spans="2:2" ht="13.5" customHeight="1">
      <c r="B708" s="94"/>
    </row>
    <row r="709" spans="2:2" ht="13.5" customHeight="1">
      <c r="B709" s="94"/>
    </row>
    <row r="710" spans="2:2" ht="13.5" customHeight="1">
      <c r="B710" s="94"/>
    </row>
    <row r="711" spans="2:2" ht="13.5" customHeight="1">
      <c r="B711" s="94"/>
    </row>
    <row r="712" spans="2:2" ht="13.5" customHeight="1">
      <c r="B712" s="94"/>
    </row>
    <row r="713" spans="2:2" ht="13.5" customHeight="1">
      <c r="B713" s="94"/>
    </row>
    <row r="714" spans="2:2" ht="13.5" customHeight="1">
      <c r="B714" s="94"/>
    </row>
    <row r="715" spans="2:2" ht="13.5" customHeight="1">
      <c r="B715" s="94"/>
    </row>
    <row r="716" spans="2:2" ht="13.5" customHeight="1">
      <c r="B716" s="94"/>
    </row>
    <row r="717" spans="2:2" ht="13.5" customHeight="1">
      <c r="B717" s="94"/>
    </row>
    <row r="718" spans="2:2" ht="13.5" customHeight="1">
      <c r="B718" s="94"/>
    </row>
    <row r="719" spans="2:2" ht="13.5" customHeight="1">
      <c r="B719" s="94"/>
    </row>
    <row r="720" spans="2:2" ht="13.5" customHeight="1">
      <c r="B720" s="94"/>
    </row>
    <row r="721" spans="2:2" ht="13.5" customHeight="1">
      <c r="B721" s="94"/>
    </row>
    <row r="722" spans="2:2" ht="13.5" customHeight="1">
      <c r="B722" s="94"/>
    </row>
    <row r="723" spans="2:2" ht="13.5" customHeight="1">
      <c r="B723" s="94"/>
    </row>
    <row r="724" spans="2:2" ht="13.5" customHeight="1">
      <c r="B724" s="94"/>
    </row>
    <row r="725" spans="2:2" ht="13.5" customHeight="1">
      <c r="B725" s="94"/>
    </row>
    <row r="726" spans="2:2" ht="13.5" customHeight="1">
      <c r="B726" s="94"/>
    </row>
    <row r="727" spans="2:2" ht="13.5" customHeight="1">
      <c r="B727" s="94"/>
    </row>
    <row r="728" spans="2:2" ht="13.5" customHeight="1">
      <c r="B728" s="94"/>
    </row>
    <row r="729" spans="2:2" ht="13.5" customHeight="1">
      <c r="B729" s="94"/>
    </row>
    <row r="730" spans="2:2" ht="13.5" customHeight="1">
      <c r="B730" s="94"/>
    </row>
    <row r="731" spans="2:2" ht="13.5" customHeight="1">
      <c r="B731" s="94"/>
    </row>
    <row r="732" spans="2:2" ht="13.5" customHeight="1">
      <c r="B732" s="94"/>
    </row>
    <row r="733" spans="2:2" ht="13.5" customHeight="1">
      <c r="B733" s="94"/>
    </row>
    <row r="734" spans="2:2" ht="13.5" customHeight="1">
      <c r="B734" s="94"/>
    </row>
    <row r="735" spans="2:2" ht="13.5" customHeight="1">
      <c r="B735" s="94"/>
    </row>
    <row r="736" spans="2:2" ht="13.5" customHeight="1">
      <c r="B736" s="94"/>
    </row>
    <row r="737" spans="2:2" ht="13.5" customHeight="1">
      <c r="B737" s="94"/>
    </row>
    <row r="738" spans="2:2" ht="13.5" customHeight="1">
      <c r="B738" s="94"/>
    </row>
    <row r="739" spans="2:2" ht="13.5" customHeight="1">
      <c r="B739" s="94"/>
    </row>
    <row r="740" spans="2:2" ht="13.5" customHeight="1">
      <c r="B740" s="94"/>
    </row>
    <row r="741" spans="2:2" ht="13.5" customHeight="1">
      <c r="B741" s="94"/>
    </row>
    <row r="742" spans="2:2" ht="13.5" customHeight="1">
      <c r="B742" s="94"/>
    </row>
    <row r="743" spans="2:2" ht="13.5" customHeight="1">
      <c r="B743" s="94"/>
    </row>
    <row r="744" spans="2:2" ht="13.5" customHeight="1">
      <c r="B744" s="94"/>
    </row>
    <row r="745" spans="2:2" ht="13.5" customHeight="1">
      <c r="B745" s="94"/>
    </row>
    <row r="746" spans="2:2" ht="13.5" customHeight="1">
      <c r="B746" s="94"/>
    </row>
    <row r="747" spans="2:2" ht="13.5" customHeight="1">
      <c r="B747" s="94"/>
    </row>
    <row r="748" spans="2:2" ht="13.5" customHeight="1">
      <c r="B748" s="94"/>
    </row>
    <row r="749" spans="2:2" ht="13.5" customHeight="1">
      <c r="B749" s="94"/>
    </row>
    <row r="750" spans="2:2" ht="13.5" customHeight="1">
      <c r="B750" s="94"/>
    </row>
    <row r="751" spans="2:2" ht="13.5" customHeight="1">
      <c r="B751" s="94"/>
    </row>
    <row r="752" spans="2:2" ht="13.5" customHeight="1">
      <c r="B752" s="94"/>
    </row>
    <row r="753" spans="2:2" ht="13.5" customHeight="1">
      <c r="B753" s="94"/>
    </row>
    <row r="754" spans="2:2" ht="13.5" customHeight="1">
      <c r="B754" s="94"/>
    </row>
    <row r="755" spans="2:2" ht="13.5" customHeight="1">
      <c r="B755" s="94"/>
    </row>
    <row r="756" spans="2:2" ht="13.5" customHeight="1">
      <c r="B756" s="94"/>
    </row>
    <row r="757" spans="2:2" ht="13.5" customHeight="1">
      <c r="B757" s="94"/>
    </row>
    <row r="758" spans="2:2" ht="13.5" customHeight="1">
      <c r="B758" s="94"/>
    </row>
    <row r="759" spans="2:2" ht="13.5" customHeight="1">
      <c r="B759" s="94"/>
    </row>
    <row r="760" spans="2:2" ht="13.5" customHeight="1">
      <c r="B760" s="94"/>
    </row>
    <row r="761" spans="2:2" ht="13.5" customHeight="1">
      <c r="B761" s="94"/>
    </row>
    <row r="762" spans="2:2" ht="13.5" customHeight="1">
      <c r="B762" s="94"/>
    </row>
    <row r="763" spans="2:2" ht="13.5" customHeight="1">
      <c r="B763" s="94"/>
    </row>
    <row r="764" spans="2:2" ht="13.5" customHeight="1">
      <c r="B764" s="94"/>
    </row>
    <row r="765" spans="2:2" ht="13.5" customHeight="1">
      <c r="B765" s="94"/>
    </row>
    <row r="766" spans="2:2" ht="13.5" customHeight="1">
      <c r="B766" s="94"/>
    </row>
    <row r="767" spans="2:2" ht="13.5" customHeight="1">
      <c r="B767" s="94"/>
    </row>
    <row r="768" spans="2:2" ht="13.5" customHeight="1">
      <c r="B768" s="94"/>
    </row>
    <row r="769" spans="2:2" ht="13.5" customHeight="1">
      <c r="B769" s="94"/>
    </row>
    <row r="770" spans="2:2" ht="13.5" customHeight="1">
      <c r="B770" s="94"/>
    </row>
    <row r="771" spans="2:2" ht="13.5" customHeight="1">
      <c r="B771" s="94"/>
    </row>
    <row r="772" spans="2:2" ht="13.5" customHeight="1">
      <c r="B772" s="94"/>
    </row>
    <row r="773" spans="2:2" ht="13.5" customHeight="1">
      <c r="B773" s="94"/>
    </row>
    <row r="774" spans="2:2" ht="13.5" customHeight="1">
      <c r="B774" s="94"/>
    </row>
    <row r="775" spans="2:2" ht="13.5" customHeight="1">
      <c r="B775" s="94"/>
    </row>
    <row r="776" spans="2:2" ht="13.5" customHeight="1">
      <c r="B776" s="94"/>
    </row>
    <row r="777" spans="2:2" ht="13.5" customHeight="1">
      <c r="B777" s="94"/>
    </row>
    <row r="778" spans="2:2" ht="13.5" customHeight="1">
      <c r="B778" s="94"/>
    </row>
    <row r="779" spans="2:2" ht="13.5" customHeight="1">
      <c r="B779" s="94"/>
    </row>
    <row r="780" spans="2:2" ht="13.5" customHeight="1">
      <c r="B780" s="94"/>
    </row>
    <row r="781" spans="2:2" ht="13.5" customHeight="1">
      <c r="B781" s="94"/>
    </row>
    <row r="782" spans="2:2" ht="13.5" customHeight="1">
      <c r="B782" s="94"/>
    </row>
    <row r="783" spans="2:2" ht="13.5" customHeight="1">
      <c r="B783" s="94"/>
    </row>
    <row r="784" spans="2:2" ht="13.5" customHeight="1">
      <c r="B784" s="94"/>
    </row>
    <row r="785" spans="2:2" ht="13.5" customHeight="1">
      <c r="B785" s="94"/>
    </row>
    <row r="786" spans="2:2" ht="13.5" customHeight="1">
      <c r="B786" s="94"/>
    </row>
    <row r="787" spans="2:2" ht="13.5" customHeight="1">
      <c r="B787" s="94"/>
    </row>
    <row r="788" spans="2:2" ht="13.5" customHeight="1">
      <c r="B788" s="94"/>
    </row>
    <row r="789" spans="2:2" ht="13.5" customHeight="1">
      <c r="B789" s="94"/>
    </row>
    <row r="790" spans="2:2" ht="13.5" customHeight="1">
      <c r="B790" s="94"/>
    </row>
    <row r="791" spans="2:2" ht="13.5" customHeight="1">
      <c r="B791" s="94"/>
    </row>
    <row r="792" spans="2:2" ht="13.5" customHeight="1">
      <c r="B792" s="94"/>
    </row>
    <row r="793" spans="2:2" ht="13.5" customHeight="1">
      <c r="B793" s="94"/>
    </row>
    <row r="794" spans="2:2" ht="13.5" customHeight="1">
      <c r="B794" s="94"/>
    </row>
    <row r="795" spans="2:2" ht="13.5" customHeight="1">
      <c r="B795" s="94"/>
    </row>
    <row r="796" spans="2:2" ht="13.5" customHeight="1">
      <c r="B796" s="94"/>
    </row>
    <row r="797" spans="2:2" ht="13.5" customHeight="1">
      <c r="B797" s="94"/>
    </row>
    <row r="798" spans="2:2" ht="13.5" customHeight="1">
      <c r="B798" s="94"/>
    </row>
    <row r="799" spans="2:2" ht="13.5" customHeight="1">
      <c r="B799" s="94"/>
    </row>
    <row r="800" spans="2:2" ht="13.5" customHeight="1">
      <c r="B800" s="94"/>
    </row>
    <row r="801" spans="2:2" ht="13.5" customHeight="1">
      <c r="B801" s="94"/>
    </row>
    <row r="802" spans="2:2" ht="13.5" customHeight="1">
      <c r="B802" s="94"/>
    </row>
    <row r="803" spans="2:2" ht="13.5" customHeight="1">
      <c r="B803" s="94"/>
    </row>
    <row r="804" spans="2:2" ht="13.5" customHeight="1">
      <c r="B804" s="94"/>
    </row>
    <row r="805" spans="2:2" ht="13.5" customHeight="1">
      <c r="B805" s="94"/>
    </row>
    <row r="806" spans="2:2" ht="13.5" customHeight="1">
      <c r="B806" s="94"/>
    </row>
    <row r="807" spans="2:2" ht="13.5" customHeight="1">
      <c r="B807" s="94"/>
    </row>
    <row r="808" spans="2:2" ht="13.5" customHeight="1">
      <c r="B808" s="94"/>
    </row>
    <row r="809" spans="2:2" ht="13.5" customHeight="1">
      <c r="B809" s="94"/>
    </row>
    <row r="810" spans="2:2" ht="13.5" customHeight="1">
      <c r="B810" s="94"/>
    </row>
    <row r="811" spans="2:2" ht="13.5" customHeight="1">
      <c r="B811" s="94"/>
    </row>
    <row r="812" spans="2:2" ht="13.5" customHeight="1">
      <c r="B812" s="94"/>
    </row>
    <row r="813" spans="2:2" ht="13.5" customHeight="1">
      <c r="B813" s="94"/>
    </row>
    <row r="814" spans="2:2" ht="13.5" customHeight="1">
      <c r="B814" s="94"/>
    </row>
    <row r="815" spans="2:2" ht="13.5" customHeight="1">
      <c r="B815" s="94"/>
    </row>
    <row r="816" spans="2:2" ht="13.5" customHeight="1">
      <c r="B816" s="94"/>
    </row>
    <row r="817" spans="2:2" ht="13.5" customHeight="1">
      <c r="B817" s="94"/>
    </row>
    <row r="818" spans="2:2" ht="13.5" customHeight="1">
      <c r="B818" s="94"/>
    </row>
    <row r="819" spans="2:2" ht="13.5" customHeight="1">
      <c r="B819" s="94"/>
    </row>
    <row r="820" spans="2:2" ht="13.5" customHeight="1">
      <c r="B820" s="94"/>
    </row>
    <row r="821" spans="2:2" ht="13.5" customHeight="1">
      <c r="B821" s="94"/>
    </row>
    <row r="822" spans="2:2" ht="13.5" customHeight="1">
      <c r="B822" s="94"/>
    </row>
    <row r="823" spans="2:2" ht="13.5" customHeight="1">
      <c r="B823" s="94"/>
    </row>
    <row r="824" spans="2:2" ht="13.5" customHeight="1">
      <c r="B824" s="94"/>
    </row>
    <row r="825" spans="2:2" ht="13.5" customHeight="1">
      <c r="B825" s="94"/>
    </row>
    <row r="826" spans="2:2" ht="13.5" customHeight="1">
      <c r="B826" s="94"/>
    </row>
    <row r="827" spans="2:2" ht="13.5" customHeight="1">
      <c r="B827" s="94"/>
    </row>
    <row r="828" spans="2:2" ht="13.5" customHeight="1">
      <c r="B828" s="94"/>
    </row>
    <row r="829" spans="2:2" ht="13.5" customHeight="1">
      <c r="B829" s="94"/>
    </row>
    <row r="830" spans="2:2" ht="13.5" customHeight="1">
      <c r="B830" s="94"/>
    </row>
    <row r="831" spans="2:2" ht="13.5" customHeight="1">
      <c r="B831" s="94"/>
    </row>
    <row r="832" spans="2:2" ht="13.5" customHeight="1">
      <c r="B832" s="94"/>
    </row>
    <row r="833" spans="2:2" ht="13.5" customHeight="1">
      <c r="B833" s="94"/>
    </row>
    <row r="834" spans="2:2" ht="13.5" customHeight="1">
      <c r="B834" s="94"/>
    </row>
    <row r="835" spans="2:2" ht="13.5" customHeight="1">
      <c r="B835" s="94"/>
    </row>
    <row r="836" spans="2:2" ht="13.5" customHeight="1">
      <c r="B836" s="94"/>
    </row>
    <row r="837" spans="2:2" ht="13.5" customHeight="1">
      <c r="B837" s="94"/>
    </row>
    <row r="838" spans="2:2" ht="13.5" customHeight="1">
      <c r="B838" s="94"/>
    </row>
    <row r="839" spans="2:2" ht="13.5" customHeight="1">
      <c r="B839" s="94"/>
    </row>
    <row r="840" spans="2:2" ht="13.5" customHeight="1">
      <c r="B840" s="94"/>
    </row>
    <row r="841" spans="2:2" ht="13.5" customHeight="1">
      <c r="B841" s="94"/>
    </row>
    <row r="842" spans="2:2" ht="13.5" customHeight="1">
      <c r="B842" s="94"/>
    </row>
    <row r="843" spans="2:2" ht="13.5" customHeight="1">
      <c r="B843" s="94"/>
    </row>
    <row r="844" spans="2:2" ht="13.5" customHeight="1">
      <c r="B844" s="94"/>
    </row>
    <row r="845" spans="2:2" ht="13.5" customHeight="1">
      <c r="B845" s="94"/>
    </row>
    <row r="846" spans="2:2" ht="13.5" customHeight="1">
      <c r="B846" s="94"/>
    </row>
    <row r="847" spans="2:2" ht="13.5" customHeight="1">
      <c r="B847" s="94"/>
    </row>
    <row r="848" spans="2:2" ht="13.5" customHeight="1">
      <c r="B848" s="94"/>
    </row>
    <row r="849" spans="2:2" ht="13.5" customHeight="1">
      <c r="B849" s="94"/>
    </row>
    <row r="850" spans="2:2" ht="13.5" customHeight="1">
      <c r="B850" s="94"/>
    </row>
    <row r="851" spans="2:2" ht="13.5" customHeight="1">
      <c r="B851" s="94"/>
    </row>
    <row r="852" spans="2:2" ht="13.5" customHeight="1">
      <c r="B852" s="94"/>
    </row>
    <row r="853" spans="2:2" ht="13.5" customHeight="1">
      <c r="B853" s="94"/>
    </row>
    <row r="854" spans="2:2" ht="13.5" customHeight="1">
      <c r="B854" s="94"/>
    </row>
    <row r="855" spans="2:2" ht="13.5" customHeight="1">
      <c r="B855" s="94"/>
    </row>
    <row r="856" spans="2:2" ht="13.5" customHeight="1">
      <c r="B856" s="94"/>
    </row>
    <row r="857" spans="2:2" ht="13.5" customHeight="1">
      <c r="B857" s="94"/>
    </row>
    <row r="858" spans="2:2" ht="13.5" customHeight="1">
      <c r="B858" s="94"/>
    </row>
    <row r="859" spans="2:2" ht="13.5" customHeight="1">
      <c r="B859" s="94"/>
    </row>
    <row r="860" spans="2:2" ht="13.5" customHeight="1">
      <c r="B860" s="94"/>
    </row>
    <row r="861" spans="2:2" ht="13.5" customHeight="1">
      <c r="B861" s="94"/>
    </row>
    <row r="862" spans="2:2" ht="13.5" customHeight="1">
      <c r="B862" s="94"/>
    </row>
    <row r="863" spans="2:2" ht="13.5" customHeight="1">
      <c r="B863" s="94"/>
    </row>
    <row r="864" spans="2:2" ht="13.5" customHeight="1">
      <c r="B864" s="94"/>
    </row>
    <row r="865" spans="2:2" ht="13.5" customHeight="1">
      <c r="B865" s="94"/>
    </row>
    <row r="866" spans="2:2" ht="13.5" customHeight="1">
      <c r="B866" s="94"/>
    </row>
    <row r="867" spans="2:2" ht="13.5" customHeight="1">
      <c r="B867" s="94"/>
    </row>
    <row r="868" spans="2:2" ht="13.5" customHeight="1">
      <c r="B868" s="94"/>
    </row>
    <row r="869" spans="2:2" ht="13.5" customHeight="1">
      <c r="B869" s="94"/>
    </row>
    <row r="870" spans="2:2" ht="13.5" customHeight="1">
      <c r="B870" s="94"/>
    </row>
    <row r="871" spans="2:2" ht="13.5" customHeight="1">
      <c r="B871" s="94"/>
    </row>
    <row r="872" spans="2:2" ht="13.5" customHeight="1">
      <c r="B872" s="94"/>
    </row>
    <row r="873" spans="2:2" ht="13.5" customHeight="1">
      <c r="B873" s="94"/>
    </row>
    <row r="874" spans="2:2" ht="13.5" customHeight="1">
      <c r="B874" s="94"/>
    </row>
    <row r="875" spans="2:2" ht="13.5" customHeight="1">
      <c r="B875" s="94"/>
    </row>
    <row r="876" spans="2:2" ht="13.5" customHeight="1">
      <c r="B876" s="94"/>
    </row>
    <row r="877" spans="2:2" ht="13.5" customHeight="1">
      <c r="B877" s="94"/>
    </row>
    <row r="878" spans="2:2" ht="13.5" customHeight="1">
      <c r="B878" s="94"/>
    </row>
    <row r="879" spans="2:2" ht="13.5" customHeight="1">
      <c r="B879" s="94"/>
    </row>
    <row r="880" spans="2:2" ht="13.5" customHeight="1">
      <c r="B880" s="94"/>
    </row>
    <row r="881" spans="2:2" ht="13.5" customHeight="1">
      <c r="B881" s="94"/>
    </row>
    <row r="882" spans="2:2" ht="13.5" customHeight="1">
      <c r="B882" s="94"/>
    </row>
    <row r="883" spans="2:2" ht="13.5" customHeight="1">
      <c r="B883" s="94"/>
    </row>
    <row r="884" spans="2:2" ht="13.5" customHeight="1">
      <c r="B884" s="94"/>
    </row>
    <row r="885" spans="2:2" ht="13.5" customHeight="1">
      <c r="B885" s="94"/>
    </row>
    <row r="886" spans="2:2" ht="13.5" customHeight="1">
      <c r="B886" s="94"/>
    </row>
    <row r="887" spans="2:2" ht="13.5" customHeight="1">
      <c r="B887" s="94"/>
    </row>
    <row r="888" spans="2:2" ht="13.5" customHeight="1">
      <c r="B888" s="94"/>
    </row>
    <row r="889" spans="2:2" ht="13.5" customHeight="1">
      <c r="B889" s="94"/>
    </row>
    <row r="890" spans="2:2" ht="13.5" customHeight="1">
      <c r="B890" s="94"/>
    </row>
    <row r="891" spans="2:2" ht="13.5" customHeight="1">
      <c r="B891" s="94"/>
    </row>
    <row r="892" spans="2:2" ht="13.5" customHeight="1">
      <c r="B892" s="94"/>
    </row>
    <row r="893" spans="2:2" ht="13.5" customHeight="1">
      <c r="B893" s="94"/>
    </row>
    <row r="894" spans="2:2" ht="13.5" customHeight="1">
      <c r="B894" s="94"/>
    </row>
    <row r="895" spans="2:2" ht="13.5" customHeight="1">
      <c r="B895" s="94"/>
    </row>
    <row r="896" spans="2:2" ht="13.5" customHeight="1">
      <c r="B896" s="94"/>
    </row>
    <row r="897" spans="2:2" ht="13.5" customHeight="1">
      <c r="B897" s="94"/>
    </row>
    <row r="898" spans="2:2" ht="13.5" customHeight="1">
      <c r="B898" s="94"/>
    </row>
    <row r="899" spans="2:2" ht="13.5" customHeight="1">
      <c r="B899" s="94"/>
    </row>
    <row r="900" spans="2:2" ht="13.5" customHeight="1">
      <c r="B900" s="94"/>
    </row>
    <row r="901" spans="2:2" ht="13.5" customHeight="1">
      <c r="B901" s="94"/>
    </row>
    <row r="902" spans="2:2" ht="13.5" customHeight="1">
      <c r="B902" s="94"/>
    </row>
    <row r="903" spans="2:2" ht="13.5" customHeight="1">
      <c r="B903" s="94"/>
    </row>
    <row r="904" spans="2:2" ht="13.5" customHeight="1">
      <c r="B904" s="94"/>
    </row>
    <row r="905" spans="2:2" ht="13.5" customHeight="1">
      <c r="B905" s="94"/>
    </row>
    <row r="906" spans="2:2" ht="13.5" customHeight="1">
      <c r="B906" s="94"/>
    </row>
    <row r="907" spans="2:2" ht="13.5" customHeight="1">
      <c r="B907" s="94"/>
    </row>
    <row r="908" spans="2:2" ht="13.5" customHeight="1">
      <c r="B908" s="94"/>
    </row>
    <row r="909" spans="2:2" ht="13.5" customHeight="1">
      <c r="B909" s="94"/>
    </row>
    <row r="910" spans="2:2" ht="13.5" customHeight="1">
      <c r="B910" s="94"/>
    </row>
    <row r="911" spans="2:2" ht="13.5" customHeight="1">
      <c r="B911" s="94"/>
    </row>
    <row r="912" spans="2:2" ht="13.5" customHeight="1">
      <c r="B912" s="94"/>
    </row>
    <row r="913" spans="2:2" ht="13.5" customHeight="1">
      <c r="B913" s="94"/>
    </row>
    <row r="914" spans="2:2" ht="13.5" customHeight="1">
      <c r="B914" s="94"/>
    </row>
    <row r="915" spans="2:2" ht="13.5" customHeight="1">
      <c r="B915" s="94"/>
    </row>
    <row r="916" spans="2:2" ht="13.5" customHeight="1">
      <c r="B916" s="94"/>
    </row>
    <row r="917" spans="2:2" ht="13.5" customHeight="1">
      <c r="B917" s="94"/>
    </row>
    <row r="918" spans="2:2" ht="13.5" customHeight="1">
      <c r="B918" s="94"/>
    </row>
    <row r="919" spans="2:2" ht="13.5" customHeight="1">
      <c r="B919" s="94"/>
    </row>
    <row r="920" spans="2:2" ht="13.5" customHeight="1">
      <c r="B920" s="94"/>
    </row>
    <row r="921" spans="2:2" ht="13.5" customHeight="1">
      <c r="B921" s="94"/>
    </row>
    <row r="922" spans="2:2" ht="13.5" customHeight="1">
      <c r="B922" s="94"/>
    </row>
    <row r="923" spans="2:2" ht="13.5" customHeight="1">
      <c r="B923" s="94"/>
    </row>
    <row r="924" spans="2:2" ht="13.5" customHeight="1">
      <c r="B924" s="94"/>
    </row>
    <row r="925" spans="2:2" ht="13.5" customHeight="1">
      <c r="B925" s="94"/>
    </row>
    <row r="926" spans="2:2" ht="13.5" customHeight="1">
      <c r="B926" s="94"/>
    </row>
    <row r="927" spans="2:2" ht="13.5" customHeight="1">
      <c r="B927" s="94"/>
    </row>
    <row r="928" spans="2:2" ht="13.5" customHeight="1">
      <c r="B928" s="94"/>
    </row>
    <row r="929" spans="2:2" ht="13.5" customHeight="1">
      <c r="B929" s="94"/>
    </row>
    <row r="930" spans="2:2" ht="13.5" customHeight="1">
      <c r="B930" s="94"/>
    </row>
    <row r="931" spans="2:2" ht="13.5" customHeight="1">
      <c r="B931" s="94"/>
    </row>
    <row r="932" spans="2:2" ht="13.5" customHeight="1">
      <c r="B932" s="94"/>
    </row>
    <row r="933" spans="2:2" ht="13.5" customHeight="1">
      <c r="B933" s="94"/>
    </row>
    <row r="934" spans="2:2" ht="13.5" customHeight="1">
      <c r="B934" s="94"/>
    </row>
    <row r="935" spans="2:2" ht="13.5" customHeight="1">
      <c r="B935" s="94"/>
    </row>
    <row r="936" spans="2:2" ht="13.5" customHeight="1">
      <c r="B936" s="94"/>
    </row>
    <row r="937" spans="2:2" ht="13.5" customHeight="1">
      <c r="B937" s="94"/>
    </row>
    <row r="938" spans="2:2" ht="13.5" customHeight="1">
      <c r="B938" s="94"/>
    </row>
    <row r="939" spans="2:2" ht="13.5" customHeight="1">
      <c r="B939" s="94"/>
    </row>
    <row r="940" spans="2:2" ht="13.5" customHeight="1">
      <c r="B940" s="94"/>
    </row>
    <row r="941" spans="2:2" ht="13.5" customHeight="1">
      <c r="B941" s="94"/>
    </row>
    <row r="942" spans="2:2" ht="13.5" customHeight="1">
      <c r="B942" s="94"/>
    </row>
    <row r="943" spans="2:2" ht="13.5" customHeight="1">
      <c r="B943" s="94"/>
    </row>
    <row r="944" spans="2:2" ht="13.5" customHeight="1">
      <c r="B944" s="94"/>
    </row>
    <row r="945" spans="2:2" ht="13.5" customHeight="1">
      <c r="B945" s="94"/>
    </row>
    <row r="946" spans="2:2" ht="13.5" customHeight="1">
      <c r="B946" s="94"/>
    </row>
    <row r="947" spans="2:2" ht="13.5" customHeight="1">
      <c r="B947" s="94"/>
    </row>
    <row r="948" spans="2:2" ht="13.5" customHeight="1">
      <c r="B948" s="94"/>
    </row>
    <row r="949" spans="2:2" ht="13.5" customHeight="1">
      <c r="B949" s="94"/>
    </row>
    <row r="950" spans="2:2" ht="13.5" customHeight="1">
      <c r="B950" s="94"/>
    </row>
    <row r="951" spans="2:2" ht="13.5" customHeight="1">
      <c r="B951" s="94"/>
    </row>
    <row r="952" spans="2:2" ht="13.5" customHeight="1">
      <c r="B952" s="94"/>
    </row>
    <row r="953" spans="2:2" ht="13.5" customHeight="1">
      <c r="B953" s="94"/>
    </row>
    <row r="954" spans="2:2" ht="13.5" customHeight="1">
      <c r="B954" s="94"/>
    </row>
    <row r="955" spans="2:2" ht="13.5" customHeight="1">
      <c r="B955" s="94"/>
    </row>
    <row r="956" spans="2:2" ht="13.5" customHeight="1">
      <c r="B956" s="94"/>
    </row>
    <row r="957" spans="2:2" ht="13.5" customHeight="1">
      <c r="B957" s="94"/>
    </row>
    <row r="958" spans="2:2" ht="13.5" customHeight="1">
      <c r="B958" s="94"/>
    </row>
    <row r="959" spans="2:2" ht="13.5" customHeight="1">
      <c r="B959" s="94"/>
    </row>
    <row r="960" spans="2:2" ht="13.5" customHeight="1">
      <c r="B960" s="94"/>
    </row>
    <row r="961" spans="2:2" ht="13.5" customHeight="1">
      <c r="B961" s="94"/>
    </row>
    <row r="962" spans="2:2" ht="13.5" customHeight="1">
      <c r="B962" s="94"/>
    </row>
    <row r="963" spans="2:2" ht="13.5" customHeight="1">
      <c r="B963" s="94"/>
    </row>
    <row r="964" spans="2:2" ht="13.5" customHeight="1">
      <c r="B964" s="94"/>
    </row>
    <row r="965" spans="2:2" ht="13.5" customHeight="1">
      <c r="B965" s="94"/>
    </row>
    <row r="966" spans="2:2" ht="13.5" customHeight="1">
      <c r="B966" s="94"/>
    </row>
    <row r="967" spans="2:2" ht="13.5" customHeight="1">
      <c r="B967" s="94"/>
    </row>
    <row r="968" spans="2:2" ht="13.5" customHeight="1">
      <c r="B968" s="94"/>
    </row>
    <row r="969" spans="2:2" ht="13.5" customHeight="1">
      <c r="B969" s="94"/>
    </row>
    <row r="970" spans="2:2" ht="13.5" customHeight="1">
      <c r="B970" s="94"/>
    </row>
    <row r="971" spans="2:2" ht="13.5" customHeight="1">
      <c r="B971" s="94"/>
    </row>
    <row r="972" spans="2:2" ht="13.5" customHeight="1">
      <c r="B972" s="94"/>
    </row>
    <row r="973" spans="2:2" ht="13.5" customHeight="1">
      <c r="B973" s="94"/>
    </row>
    <row r="974" spans="2:2" ht="13.5" customHeight="1">
      <c r="B974" s="94"/>
    </row>
    <row r="975" spans="2:2" ht="13.5" customHeight="1">
      <c r="B975" s="94"/>
    </row>
    <row r="976" spans="2:2" ht="13.5" customHeight="1">
      <c r="B976" s="94"/>
    </row>
    <row r="977" spans="2:2" ht="13.5" customHeight="1">
      <c r="B977" s="94"/>
    </row>
    <row r="978" spans="2:2" ht="13.5" customHeight="1">
      <c r="B978" s="94"/>
    </row>
    <row r="979" spans="2:2" ht="13.5" customHeight="1">
      <c r="B979" s="94"/>
    </row>
    <row r="980" spans="2:2" ht="13.5" customHeight="1">
      <c r="B980" s="94"/>
    </row>
    <row r="981" spans="2:2" ht="13.5" customHeight="1">
      <c r="B981" s="94"/>
    </row>
    <row r="982" spans="2:2" ht="13.5" customHeight="1">
      <c r="B982" s="94"/>
    </row>
    <row r="983" spans="2:2" ht="13.5" customHeight="1">
      <c r="B983" s="94"/>
    </row>
    <row r="984" spans="2:2" ht="13.5" customHeight="1">
      <c r="B984" s="94"/>
    </row>
    <row r="985" spans="2:2" ht="13.5" customHeight="1">
      <c r="B985" s="94"/>
    </row>
    <row r="986" spans="2:2" ht="13.5" customHeight="1">
      <c r="B986" s="94"/>
    </row>
    <row r="987" spans="2:2" ht="13.5" customHeight="1">
      <c r="B987" s="94"/>
    </row>
    <row r="988" spans="2:2" ht="13.5" customHeight="1">
      <c r="B988" s="94"/>
    </row>
    <row r="989" spans="2:2" ht="13.5" customHeight="1">
      <c r="B989" s="94"/>
    </row>
    <row r="990" spans="2:2" ht="13.5" customHeight="1">
      <c r="B990" s="94"/>
    </row>
    <row r="991" spans="2:2" ht="13.5" customHeight="1">
      <c r="B991" s="94"/>
    </row>
    <row r="992" spans="2:2" ht="13.5" customHeight="1">
      <c r="B992" s="94"/>
    </row>
    <row r="993" spans="2:2" ht="13.5" customHeight="1">
      <c r="B993" s="94"/>
    </row>
    <row r="994" spans="2:2" ht="13.5" customHeight="1">
      <c r="B994" s="94"/>
    </row>
    <row r="995" spans="2:2" ht="13.5" customHeight="1">
      <c r="B995" s="94"/>
    </row>
    <row r="996" spans="2:2" ht="13.5" customHeight="1">
      <c r="B996" s="94"/>
    </row>
    <row r="997" spans="2:2" ht="13.5" customHeight="1">
      <c r="B997" s="94"/>
    </row>
    <row r="998" spans="2:2" ht="13.5" customHeight="1">
      <c r="B998" s="94"/>
    </row>
    <row r="999" spans="2:2" ht="13.5" customHeight="1">
      <c r="B999" s="94"/>
    </row>
    <row r="1000" spans="2:2" ht="13.5" customHeight="1">
      <c r="B1000" s="94"/>
    </row>
    <row r="1001" spans="2:2" ht="15" customHeight="1">
      <c r="B1001" s="94"/>
    </row>
  </sheetData>
  <mergeCells count="3">
    <mergeCell ref="A1:C1"/>
    <mergeCell ref="A2:C2"/>
    <mergeCell ref="A9:C9"/>
  </mergeCells>
  <printOptions horizontalCentered="1"/>
  <pageMargins left="0.70866141732283472" right="0.70866141732283472" top="0.74803149606299213" bottom="0.7480314960629921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名簿 (出欠確認用)</vt:lpstr>
      <vt:lpstr>会計 </vt:lpstr>
      <vt:lpstr>計算シート</vt:lpstr>
      <vt:lpstr>計算シート (2)</vt:lpstr>
      <vt:lpstr>収支報告書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又多実千恵</dc:creator>
  <cp:lastModifiedBy>Hoshina, Koichi</cp:lastModifiedBy>
  <cp:lastPrinted>2026-06-06T09:54:49Z</cp:lastPrinted>
  <dcterms:created xsi:type="dcterms:W3CDTF">2014-04-03T11:24:45Z</dcterms:created>
  <dcterms:modified xsi:type="dcterms:W3CDTF">2026-06-06T13:53:31Z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2026-06-06T09:55:09Z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7aa05c9e-b54b-4858-9bf3-55c912e9158f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